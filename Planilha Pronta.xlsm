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omments6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omments7.xml" ContentType="application/vnd.openxmlformats-officedocument.spreadsheetml.comment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omments8.xml" ContentType="application/vnd.openxmlformats-officedocument.spreadsheetml.comment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omments9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omments10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omments11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omments1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comments1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8.xml" ContentType="application/vnd.openxmlformats-officedocument.drawing+xml"/>
  <Override PartName="/xl/comments14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9.xml" ContentType="application/vnd.openxmlformats-officedocument.drawing+xml"/>
  <Override PartName="/xl/comments15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0.xml" ContentType="application/vnd.openxmlformats-officedocument.drawing+xml"/>
  <Override PartName="/xl/comments16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omments17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omments18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3.xml" ContentType="application/vnd.openxmlformats-officedocument.drawing+xml"/>
  <Override PartName="/xl/comments19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tables/table2.xml" ContentType="application/vnd.openxmlformats-officedocument.spreadsheetml.table+xml"/>
  <Override PartName="/xl/comments20.xml" ContentType="application/vnd.openxmlformats-officedocument.spreadsheetml.comments+xml"/>
  <Override PartName="/xl/drawings/drawing25.xml" ContentType="application/vnd.openxmlformats-officedocument.drawing+xml"/>
  <Override PartName="/xl/tables/table3.xml" ContentType="application/vnd.openxmlformats-officedocument.spreadsheetml.table+xml"/>
  <Override PartName="/xl/comments21.xml" ContentType="application/vnd.openxmlformats-officedocument.spreadsheetml.comments+xml"/>
  <Override PartName="/xl/drawings/drawing26.xml" ContentType="application/vnd.openxmlformats-officedocument.drawing+xml"/>
  <Override PartName="/xl/tables/table4.xml" ContentType="application/vnd.openxmlformats-officedocument.spreadsheetml.table+xml"/>
  <Override PartName="/xl/comments22.xml" ContentType="application/vnd.openxmlformats-officedocument.spreadsheetml.comments+xml"/>
  <Override PartName="/xl/drawings/drawing27.xml" ContentType="application/vnd.openxmlformats-officedocument.drawing+xml"/>
  <Override PartName="/xl/tables/table5.xml" ContentType="application/vnd.openxmlformats-officedocument.spreadsheetml.table+xml"/>
  <Override PartName="/xl/comments23.xml" ContentType="application/vnd.openxmlformats-officedocument.spreadsheetml.comments+xml"/>
  <Override PartName="/xl/drawings/drawing28.xml" ContentType="application/vnd.openxmlformats-officedocument.drawing+xml"/>
  <Override PartName="/xl/tables/table6.xml" ContentType="application/vnd.openxmlformats-officedocument.spreadsheetml.table+xml"/>
  <Override PartName="/xl/comments24.xml" ContentType="application/vnd.openxmlformats-officedocument.spreadsheetml.comments+xml"/>
  <Override PartName="/xl/drawings/drawing29.xml" ContentType="application/vnd.openxmlformats-officedocument.drawing+xml"/>
  <Override PartName="/xl/tables/table7.xml" ContentType="application/vnd.openxmlformats-officedocument.spreadsheetml.table+xml"/>
  <Override PartName="/xl/comments25.xml" ContentType="application/vnd.openxmlformats-officedocument.spreadsheetml.comments+xml"/>
  <Override PartName="/xl/drawings/drawing30.xml" ContentType="application/vnd.openxmlformats-officedocument.drawing+xml"/>
  <Override PartName="/xl/tables/table8.xml" ContentType="application/vnd.openxmlformats-officedocument.spreadsheetml.table+xml"/>
  <Override PartName="/xl/comments26.xml" ContentType="application/vnd.openxmlformats-officedocument.spreadsheetml.comments+xml"/>
  <Override PartName="/xl/drawings/drawing31.xml" ContentType="application/vnd.openxmlformats-officedocument.drawing+xml"/>
  <Override PartName="/xl/tables/table9.xml" ContentType="application/vnd.openxmlformats-officedocument.spreadsheetml.table+xml"/>
  <Override PartName="/xl/comments27.xml" ContentType="application/vnd.openxmlformats-officedocument.spreadsheetml.comments+xml"/>
  <Override PartName="/xl/drawings/drawing32.xml" ContentType="application/vnd.openxmlformats-officedocument.drawing+xml"/>
  <Override PartName="/xl/tables/table10.xml" ContentType="application/vnd.openxmlformats-officedocument.spreadsheetml.table+xml"/>
  <Override PartName="/xl/comments28.xml" ContentType="application/vnd.openxmlformats-officedocument.spreadsheetml.comments+xml"/>
  <Override PartName="/xl/drawings/drawing33.xml" ContentType="application/vnd.openxmlformats-officedocument.drawing+xml"/>
  <Override PartName="/xl/tables/table11.xml" ContentType="application/vnd.openxmlformats-officedocument.spreadsheetml.table+xml"/>
  <Override PartName="/xl/comments29.xml" ContentType="application/vnd.openxmlformats-officedocument.spreadsheetml.comments+xml"/>
  <Override PartName="/xl/drawings/drawing34.xml" ContentType="application/vnd.openxmlformats-officedocument.drawing+xml"/>
  <Override PartName="/xl/tables/table12.xml" ContentType="application/vnd.openxmlformats-officedocument.spreadsheetml.table+xml"/>
  <Override PartName="/xl/comments3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Ewerton\Downloads\Planilhas de Estudos para concursos 2.0\Planilhas de Estudos para concursos 2.0\"/>
    </mc:Choice>
  </mc:AlternateContent>
  <xr:revisionPtr revIDLastSave="0" documentId="13_ncr:1_{184055D0-3FD7-4EF4-92A1-CFBF65703758}" xr6:coauthVersionLast="47" xr6:coauthVersionMax="47" xr10:uidLastSave="{00000000-0000-0000-0000-000000000000}"/>
  <bookViews>
    <workbookView showSheetTabs="0" xWindow="-120" yWindow="-120" windowWidth="29040" windowHeight="15720" activeTab="2" xr2:uid="{00000000-000D-0000-FFFF-FFFF00000000}"/>
  </bookViews>
  <sheets>
    <sheet name="Gráfico1" sheetId="51" r:id="rId1"/>
    <sheet name="Gráfico2" sheetId="52" r:id="rId2"/>
    <sheet name="Começo" sheetId="9" r:id="rId3"/>
    <sheet name="Conteudo" sheetId="10" r:id="rId4"/>
    <sheet name="Desempenho" sheetId="11" r:id="rId5"/>
    <sheet name="Quadro Horario " sheetId="6" r:id="rId6"/>
    <sheet name="Resultados" sheetId="12" r:id="rId7"/>
    <sheet name="Materia 1" sheetId="35" r:id="rId8"/>
    <sheet name="Materia 2" sheetId="36" r:id="rId9"/>
    <sheet name="Materia 3" sheetId="37" r:id="rId10"/>
    <sheet name="Materia 4" sheetId="38" r:id="rId11"/>
    <sheet name="Materia 5" sheetId="39" r:id="rId12"/>
    <sheet name="Materia 6" sheetId="40" r:id="rId13"/>
    <sheet name="Materia 7" sheetId="41" r:id="rId14"/>
    <sheet name="Materia 8" sheetId="42" r:id="rId15"/>
    <sheet name="Materia 9" sheetId="43" r:id="rId16"/>
    <sheet name="Materia 10" sheetId="44" r:id="rId17"/>
    <sheet name="Materia 11" sheetId="45" r:id="rId18"/>
    <sheet name="Materia 12" sheetId="46" r:id="rId19"/>
    <sheet name="Materia 13" sheetId="47" r:id="rId20"/>
    <sheet name="Materia 14" sheetId="48" r:id="rId21"/>
    <sheet name="Materia 15" sheetId="49" r:id="rId22"/>
    <sheet name="Materia 16" sheetId="50" r:id="rId23"/>
    <sheet name="fev" sheetId="14" r:id="rId24"/>
    <sheet name="mar" sheetId="15" r:id="rId25"/>
    <sheet name="abr" sheetId="16" r:id="rId26"/>
    <sheet name="maio" sheetId="31" r:id="rId27"/>
    <sheet name="jun" sheetId="17" r:id="rId28"/>
    <sheet name="jul" sheetId="18" r:id="rId29"/>
    <sheet name="ago" sheetId="19" r:id="rId30"/>
    <sheet name="set" sheetId="20" r:id="rId31"/>
    <sheet name="out" sheetId="21" r:id="rId32"/>
    <sheet name="nov" sheetId="22" r:id="rId33"/>
    <sheet name="dez" sheetId="23" r:id="rId34"/>
    <sheet name="Calculos" sheetId="8" r:id="rId35"/>
  </sheets>
  <definedNames>
    <definedName name="_xlnm._FilterDatabase" localSheetId="3" hidden="1">Conteudo!$A$12:$R$12</definedName>
    <definedName name="_xlnm._FilterDatabase" localSheetId="4" hidden="1">Desempenho!$B$8:$M$8</definedName>
    <definedName name="acertos">Conteudo!$G$13:$G$28</definedName>
    <definedName name="Acompanhamento" localSheetId="16">#REF!</definedName>
    <definedName name="Acompanhamento" localSheetId="17">#REF!</definedName>
    <definedName name="Acompanhamento" localSheetId="18">#REF!</definedName>
    <definedName name="Acompanhamento" localSheetId="19">#REF!</definedName>
    <definedName name="Acompanhamento" localSheetId="20">#REF!</definedName>
    <definedName name="Acompanhamento" localSheetId="21">#REF!</definedName>
    <definedName name="Acompanhamento" localSheetId="22">#REF!</definedName>
    <definedName name="Acompanhamento" localSheetId="8">#REF!</definedName>
    <definedName name="Acompanhamento" localSheetId="9">#REF!</definedName>
    <definedName name="Acompanhamento" localSheetId="10">#REF!</definedName>
    <definedName name="Acompanhamento" localSheetId="11">#REF!</definedName>
    <definedName name="Acompanhamento" localSheetId="12">#REF!</definedName>
    <definedName name="Acompanhamento" localSheetId="13">#REF!</definedName>
    <definedName name="Acompanhamento" localSheetId="14">#REF!</definedName>
    <definedName name="Acompanhamento" localSheetId="15">#REF!</definedName>
    <definedName name="Acompanhamento">#REF!</definedName>
    <definedName name="bd">Conteudo!$A:$C</definedName>
    <definedName name="Conteudo" localSheetId="16">#REF!</definedName>
    <definedName name="Conteudo" localSheetId="17">#REF!</definedName>
    <definedName name="Conteudo" localSheetId="18">#REF!</definedName>
    <definedName name="Conteudo" localSheetId="19">#REF!</definedName>
    <definedName name="Conteudo" localSheetId="20">#REF!</definedName>
    <definedName name="Conteudo" localSheetId="21">#REF!</definedName>
    <definedName name="Conteudo" localSheetId="22">#REF!</definedName>
    <definedName name="Conteudo" localSheetId="8">#REF!</definedName>
    <definedName name="Conteudo" localSheetId="9">#REF!</definedName>
    <definedName name="Conteudo" localSheetId="10">#REF!</definedName>
    <definedName name="Conteudo" localSheetId="11">#REF!</definedName>
    <definedName name="Conteudo" localSheetId="12">#REF!</definedName>
    <definedName name="Conteudo" localSheetId="13">#REF!</definedName>
    <definedName name="Conteudo" localSheetId="14">#REF!</definedName>
    <definedName name="Conteudo" localSheetId="15">#REF!</definedName>
    <definedName name="Conteudo">#REF!</definedName>
    <definedName name="dados2">Conteudo!$F$13:$F$28</definedName>
    <definedName name="Google">Começo!$L$7</definedName>
    <definedName name="horario" localSheetId="16">#REF!</definedName>
    <definedName name="horario" localSheetId="17">#REF!</definedName>
    <definedName name="horario" localSheetId="18">#REF!</definedName>
    <definedName name="horario" localSheetId="19">#REF!</definedName>
    <definedName name="horario" localSheetId="20">#REF!</definedName>
    <definedName name="horario" localSheetId="21">#REF!</definedName>
    <definedName name="horario" localSheetId="22">#REF!</definedName>
    <definedName name="horario" localSheetId="8">#REF!</definedName>
    <definedName name="horario" localSheetId="9">#REF!</definedName>
    <definedName name="horario" localSheetId="10">#REF!</definedName>
    <definedName name="horario" localSheetId="11">#REF!</definedName>
    <definedName name="horario" localSheetId="12">#REF!</definedName>
    <definedName name="horario" localSheetId="13">#REF!</definedName>
    <definedName name="horario" localSheetId="14">#REF!</definedName>
    <definedName name="horario" localSheetId="15">#REF!</definedName>
    <definedName name="horario">#REF!</definedName>
    <definedName name="Inicio" localSheetId="16">#REF!</definedName>
    <definedName name="Inicio" localSheetId="17">#REF!</definedName>
    <definedName name="Inicio" localSheetId="18">#REF!</definedName>
    <definedName name="Inicio" localSheetId="19">#REF!</definedName>
    <definedName name="Inicio" localSheetId="20">#REF!</definedName>
    <definedName name="Inicio" localSheetId="21">#REF!</definedName>
    <definedName name="Inicio" localSheetId="22">#REF!</definedName>
    <definedName name="Inicio" localSheetId="8">#REF!</definedName>
    <definedName name="Inicio" localSheetId="9">#REF!</definedName>
    <definedName name="Inicio" localSheetId="10">#REF!</definedName>
    <definedName name="Inicio" localSheetId="11">#REF!</definedName>
    <definedName name="Inicio" localSheetId="12">#REF!</definedName>
    <definedName name="Inicio" localSheetId="13">#REF!</definedName>
    <definedName name="Inicio" localSheetId="14">#REF!</definedName>
    <definedName name="Inicio" localSheetId="15">#REF!</definedName>
    <definedName name="Inicio">#REF!</definedName>
    <definedName name="jan">Desempenho!$K$11:$AO$27</definedName>
    <definedName name="Materia_3" localSheetId="16">#REF!</definedName>
    <definedName name="Materia_3" localSheetId="17">#REF!</definedName>
    <definedName name="Materia_3" localSheetId="18">#REF!</definedName>
    <definedName name="Materia_3" localSheetId="19">#REF!</definedName>
    <definedName name="Materia_3" localSheetId="20">#REF!</definedName>
    <definedName name="Materia_3" localSheetId="21">#REF!</definedName>
    <definedName name="Materia_3" localSheetId="22">#REF!</definedName>
    <definedName name="Materia_3" localSheetId="10">#REF!</definedName>
    <definedName name="Materia_3" localSheetId="11">#REF!</definedName>
    <definedName name="Materia_3" localSheetId="12">#REF!</definedName>
    <definedName name="Materia_3" localSheetId="13">#REF!</definedName>
    <definedName name="Materia_3" localSheetId="14">#REF!</definedName>
    <definedName name="Materia_3" localSheetId="15">#REF!</definedName>
    <definedName name="Materia_3">#REF!</definedName>
    <definedName name="Materia_4" localSheetId="16">#REF!</definedName>
    <definedName name="Materia_4" localSheetId="17">#REF!</definedName>
    <definedName name="Materia_4" localSheetId="18">#REF!</definedName>
    <definedName name="Materia_4" localSheetId="19">#REF!</definedName>
    <definedName name="Materia_4" localSheetId="20">#REF!</definedName>
    <definedName name="Materia_4" localSheetId="21">#REF!</definedName>
    <definedName name="Materia_4" localSheetId="22">#REF!</definedName>
    <definedName name="Materia_4" localSheetId="11">#REF!</definedName>
    <definedName name="Materia_4" localSheetId="12">#REF!</definedName>
    <definedName name="Materia_4" localSheetId="13">#REF!</definedName>
    <definedName name="Materia_4" localSheetId="14">#REF!</definedName>
    <definedName name="Materia_4" localSheetId="15">#REF!</definedName>
    <definedName name="Materia_4">#REF!</definedName>
    <definedName name="materia_45" localSheetId="16">#REF!</definedName>
    <definedName name="materia_45" localSheetId="17">#REF!</definedName>
    <definedName name="materia_45" localSheetId="18">#REF!</definedName>
    <definedName name="materia_45" localSheetId="19">#REF!</definedName>
    <definedName name="materia_45" localSheetId="20">#REF!</definedName>
    <definedName name="materia_45" localSheetId="21">#REF!</definedName>
    <definedName name="materia_45" localSheetId="22">#REF!</definedName>
    <definedName name="materia_45" localSheetId="11">#REF!</definedName>
    <definedName name="materia_45" localSheetId="12">#REF!</definedName>
    <definedName name="materia_45" localSheetId="13">#REF!</definedName>
    <definedName name="materia_45" localSheetId="14">#REF!</definedName>
    <definedName name="materia_45" localSheetId="15">#REF!</definedName>
    <definedName name="materia_45">#REF!</definedName>
    <definedName name="Materia_54" localSheetId="16">#REF!</definedName>
    <definedName name="Materia_54" localSheetId="17">#REF!</definedName>
    <definedName name="Materia_54" localSheetId="18">#REF!</definedName>
    <definedName name="Materia_54" localSheetId="19">#REF!</definedName>
    <definedName name="Materia_54" localSheetId="20">#REF!</definedName>
    <definedName name="Materia_54" localSheetId="21">#REF!</definedName>
    <definedName name="Materia_54" localSheetId="22">#REF!</definedName>
    <definedName name="Materia_54" localSheetId="12">#REF!</definedName>
    <definedName name="Materia_54" localSheetId="13">#REF!</definedName>
    <definedName name="Materia_54" localSheetId="14">#REF!</definedName>
    <definedName name="Materia_54" localSheetId="15">#REF!</definedName>
    <definedName name="Materia_54">#REF!</definedName>
    <definedName name="materia1">#REF!</definedName>
    <definedName name="materia10">#REF!</definedName>
    <definedName name="materia11">#REF!</definedName>
    <definedName name="materia12">#REF!</definedName>
    <definedName name="materia13">#REF!</definedName>
    <definedName name="materia14">#REF!</definedName>
    <definedName name="materia15">#REF!</definedName>
    <definedName name="materia16">#REF!</definedName>
    <definedName name="materia2">#REF!</definedName>
    <definedName name="materia3">#REF!</definedName>
    <definedName name="materia4">#REF!</definedName>
    <definedName name="materia5">#REF!</definedName>
    <definedName name="materia6">#REF!</definedName>
    <definedName name="materia7">#REF!</definedName>
    <definedName name="materia8">#REF!</definedName>
    <definedName name="materia9">#REF!</definedName>
    <definedName name="p.base" localSheetId="16">#REF!</definedName>
    <definedName name="p.base" localSheetId="17">#REF!</definedName>
    <definedName name="p.base" localSheetId="18">#REF!</definedName>
    <definedName name="p.base" localSheetId="19">#REF!</definedName>
    <definedName name="p.base" localSheetId="20">#REF!</definedName>
    <definedName name="p.base" localSheetId="21">#REF!</definedName>
    <definedName name="p.base" localSheetId="22">#REF!</definedName>
    <definedName name="p.base" localSheetId="8">#REF!</definedName>
    <definedName name="p.base" localSheetId="9">#REF!</definedName>
    <definedName name="p.base" localSheetId="10">#REF!</definedName>
    <definedName name="p.base" localSheetId="11">#REF!</definedName>
    <definedName name="p.base" localSheetId="12">#REF!</definedName>
    <definedName name="p.base" localSheetId="13">#REF!</definedName>
    <definedName name="p.base" localSheetId="14">#REF!</definedName>
    <definedName name="p.base" localSheetId="15">#REF!</definedName>
    <definedName name="p.base">#REF!</definedName>
    <definedName name="plan1">Começo!$A$13:$M$29</definedName>
    <definedName name="plan2">Conteudo!$A$12:$X$28</definedName>
    <definedName name="planilha" localSheetId="16">#REF!</definedName>
    <definedName name="planilha" localSheetId="17">#REF!</definedName>
    <definedName name="planilha" localSheetId="18">#REF!</definedName>
    <definedName name="planilha" localSheetId="19">#REF!</definedName>
    <definedName name="planilha" localSheetId="20">#REF!</definedName>
    <definedName name="planilha" localSheetId="21">#REF!</definedName>
    <definedName name="planilha" localSheetId="22">#REF!</definedName>
    <definedName name="planilha" localSheetId="8">#REF!</definedName>
    <definedName name="planilha" localSheetId="9">#REF!</definedName>
    <definedName name="planilha" localSheetId="10">#REF!</definedName>
    <definedName name="planilha" localSheetId="11">#REF!</definedName>
    <definedName name="planilha" localSheetId="12">#REF!</definedName>
    <definedName name="planilha" localSheetId="13">#REF!</definedName>
    <definedName name="planilha" localSheetId="14">#REF!</definedName>
    <definedName name="planilha" localSheetId="15">#REF!</definedName>
    <definedName name="planilha">#REF!</definedName>
    <definedName name="tabconteudo">Conteudo!$A$13:$N$28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5" i="9" l="1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14" i="9"/>
  <c r="C9" i="10" l="1"/>
  <c r="G20" i="37"/>
  <c r="H20" i="37"/>
  <c r="J20" i="37"/>
  <c r="L20" i="37"/>
  <c r="M20" i="37"/>
  <c r="N20" i="37"/>
  <c r="O20" i="37"/>
  <c r="F20" i="37"/>
  <c r="G20" i="35"/>
  <c r="H20" i="35"/>
  <c r="J20" i="35"/>
  <c r="L20" i="35"/>
  <c r="M20" i="35"/>
  <c r="N20" i="35"/>
  <c r="O20" i="35"/>
  <c r="F20" i="35"/>
  <c r="G20" i="36"/>
  <c r="H20" i="36"/>
  <c r="J20" i="36"/>
  <c r="L20" i="36"/>
  <c r="M20" i="36"/>
  <c r="N20" i="36"/>
  <c r="O20" i="36"/>
  <c r="F20" i="36"/>
  <c r="J9" i="12"/>
  <c r="J9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14" i="9"/>
  <c r="G9" i="12"/>
  <c r="A9" i="12"/>
  <c r="D9" i="12"/>
  <c r="J14" i="9"/>
  <c r="B27" i="8" l="1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26" i="8"/>
  <c r="J4" i="50"/>
  <c r="H4" i="50"/>
  <c r="J4" i="49"/>
  <c r="H4" i="49"/>
  <c r="J4" i="48"/>
  <c r="H4" i="48"/>
  <c r="J4" i="47"/>
  <c r="H4" i="47"/>
  <c r="J4" i="46"/>
  <c r="H4" i="46"/>
  <c r="J4" i="45"/>
  <c r="H4" i="45"/>
  <c r="J4" i="44"/>
  <c r="H4" i="44"/>
  <c r="J4" i="43"/>
  <c r="H4" i="43"/>
  <c r="J4" i="42"/>
  <c r="H4" i="42"/>
  <c r="J4" i="41"/>
  <c r="H4" i="41"/>
  <c r="J4" i="40"/>
  <c r="H4" i="40"/>
  <c r="J4" i="39"/>
  <c r="H4" i="39"/>
  <c r="H4" i="38"/>
  <c r="J4" i="38"/>
  <c r="J4" i="37"/>
  <c r="H4" i="37"/>
  <c r="J4" i="36"/>
  <c r="H4" i="36"/>
  <c r="F4" i="36"/>
  <c r="J4" i="35"/>
  <c r="H4" i="35"/>
  <c r="F4" i="35"/>
  <c r="J15" i="9" l="1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H9" i="50"/>
  <c r="H8" i="50"/>
  <c r="H7" i="50"/>
  <c r="B1" i="50"/>
  <c r="H9" i="49"/>
  <c r="H8" i="49"/>
  <c r="H7" i="49"/>
  <c r="B1" i="49"/>
  <c r="H9" i="48"/>
  <c r="H8" i="48"/>
  <c r="H7" i="48"/>
  <c r="B1" i="48"/>
  <c r="H9" i="47"/>
  <c r="H8" i="47"/>
  <c r="H7" i="47"/>
  <c r="B1" i="47"/>
  <c r="H9" i="46"/>
  <c r="H8" i="46"/>
  <c r="H7" i="46"/>
  <c r="B1" i="46"/>
  <c r="H9" i="45"/>
  <c r="H8" i="45"/>
  <c r="H7" i="45"/>
  <c r="B1" i="45"/>
  <c r="H9" i="44"/>
  <c r="H8" i="44"/>
  <c r="H7" i="44"/>
  <c r="B1" i="44"/>
  <c r="H9" i="43"/>
  <c r="H8" i="43"/>
  <c r="H7" i="43"/>
  <c r="B1" i="43"/>
  <c r="H9" i="42"/>
  <c r="H8" i="42"/>
  <c r="H7" i="42"/>
  <c r="B1" i="42"/>
  <c r="H9" i="41"/>
  <c r="H8" i="41"/>
  <c r="H7" i="41"/>
  <c r="B1" i="41"/>
  <c r="H9" i="40"/>
  <c r="H8" i="40"/>
  <c r="H7" i="40"/>
  <c r="B1" i="40"/>
  <c r="H9" i="39"/>
  <c r="H8" i="39"/>
  <c r="H7" i="39"/>
  <c r="B1" i="39"/>
  <c r="H9" i="38"/>
  <c r="H8" i="38"/>
  <c r="H7" i="38"/>
  <c r="B1" i="38"/>
  <c r="H9" i="37"/>
  <c r="H8" i="37"/>
  <c r="H7" i="37"/>
  <c r="B1" i="37"/>
  <c r="H9" i="36"/>
  <c r="H8" i="36"/>
  <c r="H7" i="36"/>
  <c r="B1" i="36"/>
  <c r="H9" i="35"/>
  <c r="H7" i="35"/>
  <c r="H8" i="35"/>
  <c r="B1" i="35"/>
  <c r="B13" i="10"/>
  <c r="H20" i="8" l="1"/>
  <c r="A22" i="8" l="1" a="1"/>
  <c r="A22" i="8" s="1"/>
  <c r="J12" i="36"/>
  <c r="J12" i="37"/>
  <c r="J12" i="38"/>
  <c r="J12" i="39"/>
  <c r="J12" i="40"/>
  <c r="J12" i="41"/>
  <c r="J12" i="42"/>
  <c r="J12" i="43"/>
  <c r="J12" i="44"/>
  <c r="J12" i="45"/>
  <c r="J12" i="46"/>
  <c r="J12" i="47"/>
  <c r="J12" i="48"/>
  <c r="J12" i="49"/>
  <c r="J12" i="50"/>
  <c r="J12" i="35"/>
  <c r="H19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18" i="8"/>
  <c r="C27" i="23"/>
  <c r="C26" i="23"/>
  <c r="C25" i="23"/>
  <c r="C24" i="23"/>
  <c r="C23" i="23"/>
  <c r="C22" i="23"/>
  <c r="C21" i="23"/>
  <c r="C20" i="23"/>
  <c r="C19" i="23"/>
  <c r="C18" i="23"/>
  <c r="C17" i="23"/>
  <c r="C16" i="23"/>
  <c r="C15" i="23"/>
  <c r="C14" i="23"/>
  <c r="C13" i="23"/>
  <c r="C12" i="23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27" i="20"/>
  <c r="C26" i="20"/>
  <c r="C25" i="20"/>
  <c r="C24" i="20"/>
  <c r="C23" i="20"/>
  <c r="C22" i="20"/>
  <c r="C21" i="20"/>
  <c r="C20" i="20"/>
  <c r="C19" i="20"/>
  <c r="C18" i="20"/>
  <c r="C17" i="20"/>
  <c r="C16" i="20"/>
  <c r="C15" i="20"/>
  <c r="C14" i="20"/>
  <c r="C13" i="20"/>
  <c r="C12" i="20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27" i="17"/>
  <c r="C26" i="17"/>
  <c r="C25" i="17"/>
  <c r="C24" i="17"/>
  <c r="C23" i="17"/>
  <c r="C22" i="17"/>
  <c r="C21" i="17"/>
  <c r="C20" i="17"/>
  <c r="C19" i="17"/>
  <c r="C18" i="17"/>
  <c r="C17" i="17"/>
  <c r="C16" i="17"/>
  <c r="C15" i="17"/>
  <c r="C14" i="17"/>
  <c r="C13" i="17"/>
  <c r="C12" i="17"/>
  <c r="C27" i="31"/>
  <c r="C26" i="31"/>
  <c r="C25" i="31"/>
  <c r="C24" i="31"/>
  <c r="C23" i="31"/>
  <c r="C22" i="31"/>
  <c r="C21" i="31"/>
  <c r="C20" i="31"/>
  <c r="C19" i="31"/>
  <c r="C18" i="31"/>
  <c r="C17" i="31"/>
  <c r="C16" i="31"/>
  <c r="C15" i="31"/>
  <c r="C14" i="31"/>
  <c r="C13" i="31"/>
  <c r="C12" i="31"/>
  <c r="C27" i="16"/>
  <c r="C26" i="16"/>
  <c r="C25" i="16"/>
  <c r="C24" i="16"/>
  <c r="C23" i="16"/>
  <c r="C22" i="16"/>
  <c r="C21" i="16"/>
  <c r="C20" i="16"/>
  <c r="C19" i="16"/>
  <c r="C18" i="16"/>
  <c r="C17" i="16"/>
  <c r="C16" i="16"/>
  <c r="C15" i="16"/>
  <c r="C14" i="16"/>
  <c r="C13" i="16"/>
  <c r="C12" i="16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C27" i="14"/>
  <c r="C26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C13" i="14"/>
  <c r="C12" i="14"/>
  <c r="H2" i="8"/>
  <c r="H3" i="8"/>
  <c r="D15" i="10" s="1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" i="8"/>
  <c r="M9" i="12"/>
  <c r="F4" i="39" l="1"/>
  <c r="F20" i="38"/>
  <c r="F20" i="39"/>
  <c r="F4" i="38"/>
  <c r="F12" i="35"/>
  <c r="F12" i="50"/>
  <c r="F12" i="49"/>
  <c r="F12" i="48"/>
  <c r="F12" i="47"/>
  <c r="F12" i="46"/>
  <c r="F12" i="45"/>
  <c r="F12" i="44"/>
  <c r="F12" i="43"/>
  <c r="F12" i="42"/>
  <c r="F12" i="41"/>
  <c r="F12" i="40"/>
  <c r="F12" i="39"/>
  <c r="F12" i="38"/>
  <c r="F12" i="37"/>
  <c r="F12" i="36"/>
  <c r="D27" i="10"/>
  <c r="D25" i="10"/>
  <c r="D23" i="10"/>
  <c r="D21" i="10"/>
  <c r="D19" i="10"/>
  <c r="D17" i="10"/>
  <c r="D28" i="10"/>
  <c r="D26" i="10"/>
  <c r="D24" i="10"/>
  <c r="D22" i="10"/>
  <c r="D20" i="10"/>
  <c r="D18" i="10"/>
  <c r="D16" i="10"/>
  <c r="D14" i="10"/>
  <c r="D13" i="10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12" i="11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F20" i="42" l="1"/>
  <c r="F4" i="42"/>
  <c r="F4" i="46"/>
  <c r="F20" i="46"/>
  <c r="F20" i="50"/>
  <c r="F4" i="50"/>
  <c r="F20" i="41"/>
  <c r="F4" i="41"/>
  <c r="F20" i="45"/>
  <c r="F4" i="45"/>
  <c r="F4" i="49"/>
  <c r="F20" i="49"/>
  <c r="O20" i="38"/>
  <c r="H20" i="38"/>
  <c r="J20" i="38"/>
  <c r="K20" i="38"/>
  <c r="L20" i="38"/>
  <c r="N20" i="38"/>
  <c r="M20" i="38"/>
  <c r="I20" i="38"/>
  <c r="F4" i="37"/>
  <c r="F20" i="40"/>
  <c r="F4" i="40"/>
  <c r="F20" i="44"/>
  <c r="F4" i="44"/>
  <c r="F4" i="48"/>
  <c r="F20" i="48"/>
  <c r="F20" i="43"/>
  <c r="F4" i="43"/>
  <c r="F20" i="47"/>
  <c r="F4" i="47"/>
  <c r="O20" i="39"/>
  <c r="L20" i="39"/>
  <c r="J20" i="39"/>
  <c r="I20" i="39"/>
  <c r="M20" i="39"/>
  <c r="H20" i="39"/>
  <c r="N20" i="39"/>
  <c r="K20" i="39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G27" i="23"/>
  <c r="G26" i="23"/>
  <c r="G25" i="23"/>
  <c r="G24" i="23"/>
  <c r="G23" i="23"/>
  <c r="G22" i="23"/>
  <c r="G21" i="23"/>
  <c r="G20" i="23"/>
  <c r="G19" i="23"/>
  <c r="G18" i="23"/>
  <c r="G17" i="23"/>
  <c r="G16" i="23"/>
  <c r="G15" i="23"/>
  <c r="G14" i="23"/>
  <c r="G13" i="23"/>
  <c r="G12" i="23"/>
  <c r="AN28" i="22"/>
  <c r="AM28" i="22"/>
  <c r="AL28" i="22"/>
  <c r="AK28" i="22"/>
  <c r="AJ28" i="22"/>
  <c r="AI28" i="22"/>
  <c r="AH28" i="22"/>
  <c r="AG28" i="22"/>
  <c r="AF28" i="22"/>
  <c r="AE28" i="22"/>
  <c r="AD28" i="22"/>
  <c r="AC28" i="22"/>
  <c r="AB28" i="22"/>
  <c r="AA28" i="22"/>
  <c r="Z28" i="22"/>
  <c r="Y28" i="22"/>
  <c r="X28" i="22"/>
  <c r="W28" i="22"/>
  <c r="V28" i="22"/>
  <c r="U28" i="22"/>
  <c r="T28" i="22"/>
  <c r="S28" i="22"/>
  <c r="R28" i="22"/>
  <c r="Q28" i="22"/>
  <c r="P28" i="22"/>
  <c r="O28" i="22"/>
  <c r="N28" i="22"/>
  <c r="M28" i="22"/>
  <c r="L28" i="22"/>
  <c r="K28" i="22"/>
  <c r="G27" i="22"/>
  <c r="G26" i="22"/>
  <c r="G25" i="22"/>
  <c r="G24" i="22"/>
  <c r="G23" i="22"/>
  <c r="G22" i="22"/>
  <c r="G21" i="22"/>
  <c r="G20" i="22"/>
  <c r="G19" i="22"/>
  <c r="G18" i="22"/>
  <c r="G17" i="22"/>
  <c r="G16" i="22"/>
  <c r="G15" i="22"/>
  <c r="G14" i="22"/>
  <c r="G13" i="22"/>
  <c r="G12" i="22"/>
  <c r="AO28" i="21"/>
  <c r="AN28" i="21"/>
  <c r="AM28" i="21"/>
  <c r="AL28" i="21"/>
  <c r="AK28" i="21"/>
  <c r="AJ28" i="21"/>
  <c r="AI28" i="21"/>
  <c r="AH28" i="21"/>
  <c r="AG28" i="21"/>
  <c r="AF28" i="21"/>
  <c r="AE28" i="21"/>
  <c r="AD28" i="21"/>
  <c r="AC28" i="21"/>
  <c r="AB28" i="21"/>
  <c r="AA28" i="21"/>
  <c r="Z28" i="21"/>
  <c r="Y28" i="21"/>
  <c r="X28" i="21"/>
  <c r="W28" i="21"/>
  <c r="V28" i="21"/>
  <c r="U28" i="21"/>
  <c r="T28" i="21"/>
  <c r="S28" i="21"/>
  <c r="R28" i="21"/>
  <c r="Q28" i="21"/>
  <c r="P28" i="21"/>
  <c r="O28" i="21"/>
  <c r="N28" i="21"/>
  <c r="M28" i="21"/>
  <c r="L28" i="21"/>
  <c r="K28" i="21"/>
  <c r="G27" i="21"/>
  <c r="G26" i="21"/>
  <c r="G25" i="21"/>
  <c r="G24" i="21"/>
  <c r="G23" i="21"/>
  <c r="G22" i="21"/>
  <c r="G21" i="21"/>
  <c r="G20" i="21"/>
  <c r="G19" i="21"/>
  <c r="G18" i="21"/>
  <c r="G17" i="21"/>
  <c r="G16" i="21"/>
  <c r="G15" i="21"/>
  <c r="G14" i="21"/>
  <c r="G13" i="21"/>
  <c r="G12" i="21"/>
  <c r="AN28" i="20"/>
  <c r="AM28" i="20"/>
  <c r="AL28" i="20"/>
  <c r="AK28" i="20"/>
  <c r="AJ28" i="20"/>
  <c r="AI28" i="20"/>
  <c r="AH28" i="20"/>
  <c r="AG28" i="20"/>
  <c r="AF28" i="20"/>
  <c r="AE28" i="20"/>
  <c r="AD28" i="20"/>
  <c r="AC28" i="20"/>
  <c r="AB28" i="20"/>
  <c r="AA28" i="20"/>
  <c r="Z28" i="20"/>
  <c r="Y28" i="20"/>
  <c r="X28" i="20"/>
  <c r="W28" i="20"/>
  <c r="V28" i="20"/>
  <c r="U28" i="20"/>
  <c r="T28" i="20"/>
  <c r="S28" i="20"/>
  <c r="R28" i="20"/>
  <c r="Q28" i="20"/>
  <c r="P28" i="20"/>
  <c r="O28" i="20"/>
  <c r="N28" i="20"/>
  <c r="M28" i="20"/>
  <c r="L28" i="20"/>
  <c r="K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AO28" i="19"/>
  <c r="AN28" i="19"/>
  <c r="AM28" i="19"/>
  <c r="AL28" i="19"/>
  <c r="AK28" i="19"/>
  <c r="AJ28" i="19"/>
  <c r="AI28" i="19"/>
  <c r="AH28" i="19"/>
  <c r="AG28" i="19"/>
  <c r="AF28" i="19"/>
  <c r="AE28" i="19"/>
  <c r="AD28" i="19"/>
  <c r="AC28" i="19"/>
  <c r="AB28" i="19"/>
  <c r="AA28" i="19"/>
  <c r="Z28" i="19"/>
  <c r="Y28" i="19"/>
  <c r="X28" i="19"/>
  <c r="W28" i="19"/>
  <c r="V28" i="19"/>
  <c r="U28" i="19"/>
  <c r="T28" i="19"/>
  <c r="S28" i="19"/>
  <c r="R28" i="19"/>
  <c r="Q28" i="19"/>
  <c r="P28" i="19"/>
  <c r="O28" i="19"/>
  <c r="N28" i="19"/>
  <c r="M28" i="19"/>
  <c r="L28" i="19"/>
  <c r="K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AN28" i="17"/>
  <c r="AM28" i="17"/>
  <c r="AL28" i="17"/>
  <c r="AK28" i="17"/>
  <c r="AJ28" i="17"/>
  <c r="AI28" i="17"/>
  <c r="AH28" i="17"/>
  <c r="AG28" i="17"/>
  <c r="AF28" i="17"/>
  <c r="AE28" i="17"/>
  <c r="AD28" i="17"/>
  <c r="AC28" i="17"/>
  <c r="AB28" i="17"/>
  <c r="AA28" i="17"/>
  <c r="Z28" i="17"/>
  <c r="Y28" i="17"/>
  <c r="X28" i="17"/>
  <c r="W28" i="17"/>
  <c r="V28" i="17"/>
  <c r="U28" i="17"/>
  <c r="T28" i="17"/>
  <c r="S28" i="17"/>
  <c r="R28" i="17"/>
  <c r="Q28" i="17"/>
  <c r="P28" i="17"/>
  <c r="O28" i="17"/>
  <c r="N28" i="17"/>
  <c r="M28" i="17"/>
  <c r="L28" i="17"/>
  <c r="K28" i="17"/>
  <c r="G27" i="17"/>
  <c r="G26" i="17"/>
  <c r="G25" i="17"/>
  <c r="G24" i="17"/>
  <c r="G23" i="17"/>
  <c r="G22" i="17"/>
  <c r="G21" i="17"/>
  <c r="G20" i="17"/>
  <c r="G19" i="17"/>
  <c r="G18" i="17"/>
  <c r="G17" i="17"/>
  <c r="G16" i="17"/>
  <c r="G15" i="17"/>
  <c r="G14" i="17"/>
  <c r="G13" i="17"/>
  <c r="G12" i="17"/>
  <c r="AO28" i="31"/>
  <c r="AN28" i="31"/>
  <c r="AM28" i="31"/>
  <c r="AL28" i="31"/>
  <c r="AK28" i="31"/>
  <c r="AJ28" i="31"/>
  <c r="AI28" i="31"/>
  <c r="AH28" i="31"/>
  <c r="AG28" i="31"/>
  <c r="AF28" i="31"/>
  <c r="AE28" i="31"/>
  <c r="AD28" i="31"/>
  <c r="AC28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G27" i="31"/>
  <c r="G26" i="31"/>
  <c r="G25" i="31"/>
  <c r="G24" i="31"/>
  <c r="G23" i="31"/>
  <c r="G22" i="31"/>
  <c r="G21" i="31"/>
  <c r="G20" i="31"/>
  <c r="G19" i="31"/>
  <c r="G18" i="31"/>
  <c r="G17" i="31"/>
  <c r="G16" i="31"/>
  <c r="G15" i="31"/>
  <c r="G14" i="31"/>
  <c r="G13" i="31"/>
  <c r="G12" i="31"/>
  <c r="AN28" i="16"/>
  <c r="AM28" i="16"/>
  <c r="AL28" i="16"/>
  <c r="AK28" i="16"/>
  <c r="AJ28" i="16"/>
  <c r="AI28" i="16"/>
  <c r="AH28" i="16"/>
  <c r="AG28" i="16"/>
  <c r="AF28" i="16"/>
  <c r="AE28" i="16"/>
  <c r="AD28" i="16"/>
  <c r="AC28" i="16"/>
  <c r="AB28" i="16"/>
  <c r="AA28" i="16"/>
  <c r="Z28" i="16"/>
  <c r="Y28" i="16"/>
  <c r="X28" i="16"/>
  <c r="W28" i="16"/>
  <c r="V28" i="16"/>
  <c r="U28" i="16"/>
  <c r="T28" i="16"/>
  <c r="S28" i="16"/>
  <c r="R28" i="16"/>
  <c r="Q28" i="16"/>
  <c r="P28" i="16"/>
  <c r="O28" i="16"/>
  <c r="N28" i="16"/>
  <c r="M28" i="16"/>
  <c r="L28" i="16"/>
  <c r="K28" i="16"/>
  <c r="G27" i="16"/>
  <c r="G26" i="16"/>
  <c r="G25" i="16"/>
  <c r="G24" i="16"/>
  <c r="G23" i="16"/>
  <c r="G22" i="16"/>
  <c r="G21" i="16"/>
  <c r="G20" i="16"/>
  <c r="G19" i="16"/>
  <c r="G18" i="16"/>
  <c r="G17" i="16"/>
  <c r="G16" i="16"/>
  <c r="G15" i="16"/>
  <c r="G14" i="16"/>
  <c r="G13" i="16"/>
  <c r="G12" i="16"/>
  <c r="AO28" i="15"/>
  <c r="AN28" i="15"/>
  <c r="AM28" i="15"/>
  <c r="AL28" i="15"/>
  <c r="AK28" i="15"/>
  <c r="AJ28" i="15"/>
  <c r="AI28" i="15"/>
  <c r="AH28" i="15"/>
  <c r="AG28" i="15"/>
  <c r="AF28" i="15"/>
  <c r="AE28" i="15"/>
  <c r="AD28" i="15"/>
  <c r="AC28" i="15"/>
  <c r="AB28" i="15"/>
  <c r="AA28" i="15"/>
  <c r="Z28" i="15"/>
  <c r="Y28" i="15"/>
  <c r="X28" i="15"/>
  <c r="W28" i="15"/>
  <c r="V28" i="15"/>
  <c r="U28" i="15"/>
  <c r="T28" i="15"/>
  <c r="S28" i="15"/>
  <c r="R28" i="15"/>
  <c r="Q28" i="15"/>
  <c r="P28" i="15"/>
  <c r="O28" i="15"/>
  <c r="N28" i="15"/>
  <c r="M28" i="15"/>
  <c r="L28" i="15"/>
  <c r="K28" i="15"/>
  <c r="G27" i="15"/>
  <c r="G26" i="15"/>
  <c r="G25" i="15"/>
  <c r="G24" i="15"/>
  <c r="G23" i="15"/>
  <c r="G22" i="15"/>
  <c r="G21" i="15"/>
  <c r="G20" i="15"/>
  <c r="G19" i="15"/>
  <c r="G18" i="15"/>
  <c r="G17" i="15"/>
  <c r="G16" i="15"/>
  <c r="G15" i="15"/>
  <c r="G14" i="15"/>
  <c r="G13" i="15"/>
  <c r="G12" i="15"/>
  <c r="AL28" i="14"/>
  <c r="AK28" i="14"/>
  <c r="AJ28" i="14"/>
  <c r="AI28" i="14"/>
  <c r="AH28" i="14"/>
  <c r="AG28" i="14"/>
  <c r="AF28" i="14"/>
  <c r="AE28" i="14"/>
  <c r="AD28" i="14"/>
  <c r="AC28" i="14"/>
  <c r="AB28" i="14"/>
  <c r="AA28" i="14"/>
  <c r="Z28" i="14"/>
  <c r="Y28" i="14"/>
  <c r="X28" i="14"/>
  <c r="W28" i="14"/>
  <c r="V28" i="14"/>
  <c r="U28" i="14"/>
  <c r="T28" i="14"/>
  <c r="S28" i="14"/>
  <c r="R28" i="14"/>
  <c r="Q28" i="14"/>
  <c r="P28" i="14"/>
  <c r="O28" i="14"/>
  <c r="N28" i="14"/>
  <c r="M28" i="14"/>
  <c r="L28" i="14"/>
  <c r="K28" i="14"/>
  <c r="G27" i="14"/>
  <c r="G26" i="14"/>
  <c r="G25" i="14"/>
  <c r="G24" i="14"/>
  <c r="G23" i="14"/>
  <c r="G22" i="14"/>
  <c r="G21" i="14"/>
  <c r="G20" i="14"/>
  <c r="G19" i="14"/>
  <c r="G18" i="14"/>
  <c r="G17" i="14"/>
  <c r="G16" i="14"/>
  <c r="G15" i="14"/>
  <c r="G14" i="14"/>
  <c r="G13" i="14"/>
  <c r="G12" i="14"/>
  <c r="J14" i="10"/>
  <c r="K20" i="36" s="1"/>
  <c r="J15" i="10"/>
  <c r="K20" i="37" s="1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G14" i="11"/>
  <c r="B16" i="9" s="1"/>
  <c r="G15" i="11"/>
  <c r="B17" i="9" s="1"/>
  <c r="G16" i="11"/>
  <c r="B18" i="9" s="1"/>
  <c r="G17" i="11"/>
  <c r="B19" i="9" s="1"/>
  <c r="G18" i="11"/>
  <c r="B20" i="9" s="1"/>
  <c r="G19" i="11"/>
  <c r="B21" i="9" s="1"/>
  <c r="G20" i="11"/>
  <c r="B22" i="9" s="1"/>
  <c r="G21" i="11"/>
  <c r="B23" i="9" s="1"/>
  <c r="G22" i="11"/>
  <c r="B24" i="9" s="1"/>
  <c r="G23" i="11"/>
  <c r="B25" i="9" s="1"/>
  <c r="G24" i="11"/>
  <c r="B26" i="9" s="1"/>
  <c r="G25" i="11"/>
  <c r="B27" i="9" s="1"/>
  <c r="G26" i="11"/>
  <c r="B28" i="9" s="1"/>
  <c r="G27" i="11"/>
  <c r="B29" i="9" s="1"/>
  <c r="G13" i="11"/>
  <c r="B15" i="9" s="1"/>
  <c r="G12" i="11"/>
  <c r="B14" i="9" s="1"/>
  <c r="O20" i="48" l="1"/>
  <c r="N20" i="48"/>
  <c r="K20" i="48"/>
  <c r="H20" i="48"/>
  <c r="L20" i="48"/>
  <c r="J20" i="48"/>
  <c r="I20" i="48"/>
  <c r="M20" i="48"/>
  <c r="O20" i="49"/>
  <c r="L20" i="49"/>
  <c r="N20" i="49"/>
  <c r="K20" i="49"/>
  <c r="H20" i="49"/>
  <c r="J20" i="49"/>
  <c r="I20" i="49"/>
  <c r="M20" i="49"/>
  <c r="O20" i="46"/>
  <c r="N20" i="46"/>
  <c r="K20" i="46"/>
  <c r="H20" i="46"/>
  <c r="L20" i="46"/>
  <c r="J20" i="46"/>
  <c r="I20" i="46"/>
  <c r="M20" i="46"/>
  <c r="O20" i="47"/>
  <c r="H20" i="47"/>
  <c r="L20" i="47"/>
  <c r="N20" i="47"/>
  <c r="I20" i="47"/>
  <c r="M20" i="47"/>
  <c r="J20" i="47"/>
  <c r="K20" i="47"/>
  <c r="O20" i="43"/>
  <c r="L20" i="43"/>
  <c r="J20" i="43"/>
  <c r="I20" i="43"/>
  <c r="M20" i="43"/>
  <c r="H20" i="43"/>
  <c r="N20" i="43"/>
  <c r="K20" i="43"/>
  <c r="O20" i="44"/>
  <c r="H20" i="44"/>
  <c r="J20" i="44"/>
  <c r="L20" i="44"/>
  <c r="K20" i="44"/>
  <c r="N20" i="44"/>
  <c r="I20" i="44"/>
  <c r="M20" i="44"/>
  <c r="O20" i="40"/>
  <c r="H20" i="40"/>
  <c r="J20" i="40"/>
  <c r="K20" i="40"/>
  <c r="L20" i="40"/>
  <c r="N20" i="40"/>
  <c r="I20" i="40"/>
  <c r="M20" i="40"/>
  <c r="O20" i="45"/>
  <c r="H20" i="45"/>
  <c r="L20" i="45"/>
  <c r="I20" i="45"/>
  <c r="M20" i="45"/>
  <c r="J20" i="45"/>
  <c r="N20" i="45"/>
  <c r="K20" i="45"/>
  <c r="O20" i="41"/>
  <c r="L20" i="41"/>
  <c r="J20" i="41"/>
  <c r="I20" i="41"/>
  <c r="M20" i="41"/>
  <c r="H20" i="41"/>
  <c r="N20" i="41"/>
  <c r="K20" i="41"/>
  <c r="O20" i="50"/>
  <c r="J20" i="50"/>
  <c r="N20" i="50"/>
  <c r="I20" i="50"/>
  <c r="M20" i="50"/>
  <c r="H20" i="50"/>
  <c r="L20" i="50"/>
  <c r="K20" i="50"/>
  <c r="O20" i="42"/>
  <c r="H20" i="42"/>
  <c r="J20" i="42"/>
  <c r="K20" i="42"/>
  <c r="L20" i="42"/>
  <c r="N20" i="42"/>
  <c r="M20" i="42"/>
  <c r="I20" i="42"/>
  <c r="O8" i="19"/>
  <c r="O8" i="23"/>
  <c r="O8" i="15"/>
  <c r="O8" i="20"/>
  <c r="O8" i="21"/>
  <c r="O8" i="17"/>
  <c r="O8" i="16"/>
  <c r="O8" i="14"/>
  <c r="O8" i="22"/>
  <c r="O8" i="18"/>
  <c r="O8" i="31"/>
  <c r="O8" i="11"/>
  <c r="H14" i="10"/>
  <c r="I20" i="36" s="1"/>
  <c r="H15" i="10"/>
  <c r="I20" i="37" s="1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13" i="10"/>
  <c r="L4" i="35" l="1"/>
  <c r="I20" i="35"/>
  <c r="L4" i="49"/>
  <c r="L4" i="47"/>
  <c r="L4" i="45"/>
  <c r="L4" i="43"/>
  <c r="L4" i="41"/>
  <c r="L4" i="37"/>
  <c r="L4" i="36"/>
  <c r="L4" i="50"/>
  <c r="L4" i="48"/>
  <c r="L4" i="46"/>
  <c r="L4" i="44"/>
  <c r="L4" i="42"/>
  <c r="L4" i="40"/>
  <c r="L4" i="39"/>
  <c r="L4" i="38"/>
  <c r="E7" i="9"/>
  <c r="M13" i="9" l="1"/>
  <c r="C14" i="8"/>
  <c r="C13" i="8"/>
  <c r="C12" i="8"/>
  <c r="C11" i="8"/>
  <c r="C10" i="8"/>
  <c r="C9" i="8"/>
  <c r="C8" i="8"/>
  <c r="B14" i="8"/>
  <c r="B13" i="8"/>
  <c r="B12" i="8"/>
  <c r="B11" i="8"/>
  <c r="B10" i="8"/>
  <c r="B9" i="8"/>
  <c r="B8" i="8"/>
  <c r="A12" i="8"/>
  <c r="A8" i="8"/>
  <c r="A14" i="8"/>
  <c r="A13" i="8"/>
  <c r="A11" i="8"/>
  <c r="A10" i="8"/>
  <c r="A9" i="8"/>
  <c r="A8" i="6" l="1"/>
  <c r="F12" i="6"/>
  <c r="G12" i="6"/>
  <c r="H12" i="6"/>
  <c r="C12" i="6"/>
  <c r="B12" i="6"/>
  <c r="E12" i="6"/>
  <c r="D12" i="6"/>
  <c r="G8" i="6"/>
  <c r="D8" i="6"/>
  <c r="J23" i="6" l="1"/>
  <c r="J15" i="6"/>
  <c r="J13" i="10"/>
  <c r="K20" i="3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Ewerton Rodrigues</author>
  </authors>
  <commentList>
    <comment ref="J9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Esse é o tempo em dias até a prova, com base na data de inicio dos seus estudos até a data da prova</t>
        </r>
      </text>
    </comment>
    <comment ref="B13" authorId="0" shapeId="0" xr:uid="{00000000-0006-0000-0000-000002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 Ela ficara para baixo e vermelha se você colocou as horas de estudos e não as cumpriu no "Menu Desempenho" e se em algum mês você estiver pendente com as horas informadas a seta também continuara vermelha</t>
        </r>
      </text>
    </comment>
    <comment ref="C13" authorId="0" shapeId="0" xr:uid="{00000000-0006-0000-0000-000003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Preenchimento Obrigatório para calculos e desenvolvimento da planilha</t>
        </r>
      </text>
    </comment>
    <comment ref="D13" authorId="0" shapeId="0" xr:uid="{00000000-0006-0000-0000-000004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Fica a seu critério escolher o tempo para se dedicar a matéria</t>
        </r>
      </text>
    </comment>
    <comment ref="H13" authorId="0" shapeId="0" xr:uid="{00000000-0006-0000-0000-000005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Nivel de Dificuldade da Matéria. "Fica a seu critério pois vai depender do seu nivel de conhecimento da mesma"</t>
        </r>
      </text>
    </comment>
    <comment ref="I13" authorId="0" shapeId="0" xr:uid="{00000000-0006-0000-0000-000006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Sua Pontuação por cada matéria</t>
        </r>
      </text>
    </comment>
    <comment ref="J13" authorId="0" shapeId="0" xr:uid="{00000000-0006-0000-0000-000007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Caso sua Media de acertos na matéria fique abaixo de 50% acrescente esse tempo </t>
        </r>
      </text>
    </comment>
    <comment ref="K13" authorId="0" shapeId="0" xr:uid="{00000000-0006-0000-0000-000008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Esse é o seu Dominio das disciplinas. Acima de 90% de acertos, abaixo de 20% Ruim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Ewerton Rodrigues</author>
  </authors>
  <commentList>
    <comment ref="K10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24H</t>
        </r>
      </text>
    </comment>
    <comment ref="L10" authorId="0" shapeId="0" xr:uid="{00000000-0006-0000-0100-000002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7 dias</t>
        </r>
      </text>
    </comment>
    <comment ref="M10" authorId="0" shapeId="0" xr:uid="{00000000-0006-0000-0100-000003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15dias</t>
        </r>
      </text>
    </comment>
    <comment ref="N10" authorId="0" shapeId="0" xr:uid="{00000000-0006-0000-0100-000004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30 dias</t>
        </r>
      </text>
    </comment>
    <comment ref="O10" authorId="0" shapeId="0" xr:uid="{00000000-0006-0000-0100-000005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45 dias</t>
        </r>
      </text>
    </comment>
    <comment ref="P10" authorId="0" shapeId="0" xr:uid="{00000000-0006-0000-0100-000006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60 dias</t>
        </r>
      </text>
    </comment>
    <comment ref="Q10" authorId="0" shapeId="0" xr:uid="{00000000-0006-0000-0100-000007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75 dias</t>
        </r>
      </text>
    </comment>
    <comment ref="R10" authorId="0" shapeId="0" xr:uid="{00000000-0006-0000-0100-000008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90 dias</t>
        </r>
      </text>
    </comment>
    <comment ref="D12" authorId="0" shapeId="0" xr:uid="{00000000-0006-0000-0100-000009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Links de Pesquisa direto para a matéria selecionada, caso houver conteudo da materia serão pesquisados AMBOS.</t>
        </r>
      </text>
    </comment>
    <comment ref="I12" authorId="0" shapeId="0" xr:uid="{00000000-0006-0000-0100-00000A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Fica a seu critério dizer sua sitação na matéria. Se está em aberto, estudando ou concluiu todo o conteúdo da mesma</t>
        </r>
      </text>
    </comment>
    <comment ref="J12" authorId="0" shapeId="0" xr:uid="{00000000-0006-0000-0100-00000B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pendentes aparecerão aqui com base no inicio de estudos de cada matéria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Ewerton Rodrigues</author>
  </authors>
  <commentList>
    <comment ref="K28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Você pode ver a Soma/Média/Minimo ou Maxímo de Horas por dia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Ewerton Rodrigues</author>
  </authors>
  <commentList>
    <comment ref="J11" authorId="0" shapeId="0" xr:uid="{00000000-0006-0000-0500-000001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Esse é o seu Dominio das disciplinas. Acima de 90% de acertos, abaixo de 20% Ruim</t>
        </r>
      </text>
    </comment>
    <comment ref="F17" authorId="0" shapeId="0" xr:uid="{00000000-0006-0000-0500-000002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24H</t>
        </r>
      </text>
    </comment>
    <comment ref="H17" authorId="0" shapeId="0" xr:uid="{00000000-0006-0000-0500-000003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7 dias</t>
        </r>
      </text>
    </comment>
    <comment ref="I17" authorId="0" shapeId="0" xr:uid="{00000000-0006-0000-0500-000004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15dias</t>
        </r>
      </text>
    </comment>
    <comment ref="J17" authorId="0" shapeId="0" xr:uid="{00000000-0006-0000-0500-000005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30 dias</t>
        </r>
      </text>
    </comment>
    <comment ref="K17" authorId="0" shapeId="0" xr:uid="{00000000-0006-0000-0500-000006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45 dias</t>
        </r>
      </text>
    </comment>
    <comment ref="L17" authorId="0" shapeId="0" xr:uid="{00000000-0006-0000-0500-000007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60 dias</t>
        </r>
      </text>
    </comment>
    <comment ref="M17" authorId="0" shapeId="0" xr:uid="{00000000-0006-0000-0500-000008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60 dias</t>
        </r>
      </text>
    </comment>
    <comment ref="N17" authorId="0" shapeId="0" xr:uid="{00000000-0006-0000-0500-000009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75 dias</t>
        </r>
      </text>
    </comment>
    <comment ref="O17" authorId="0" shapeId="0" xr:uid="{00000000-0006-0000-0500-00000A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90 dias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Ewerton Rodrigues</author>
  </authors>
  <commentList>
    <comment ref="J11" authorId="0" shapeId="0" xr:uid="{00000000-0006-0000-0600-000001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Esse é o seu Dominio das disciplinas. Acima de 90% de acertos, abaixo de 20% Ruim</t>
        </r>
      </text>
    </comment>
    <comment ref="F17" authorId="0" shapeId="0" xr:uid="{00000000-0006-0000-0600-000002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24H</t>
        </r>
      </text>
    </comment>
    <comment ref="H17" authorId="0" shapeId="0" xr:uid="{00000000-0006-0000-0600-000003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7 dias</t>
        </r>
      </text>
    </comment>
    <comment ref="I17" authorId="0" shapeId="0" xr:uid="{00000000-0006-0000-0600-000004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15dias</t>
        </r>
      </text>
    </comment>
    <comment ref="J17" authorId="0" shapeId="0" xr:uid="{00000000-0006-0000-0600-000005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30 dias</t>
        </r>
      </text>
    </comment>
    <comment ref="K17" authorId="0" shapeId="0" xr:uid="{00000000-0006-0000-0600-000006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45 dias</t>
        </r>
      </text>
    </comment>
    <comment ref="L17" authorId="0" shapeId="0" xr:uid="{00000000-0006-0000-0600-000007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60 dias</t>
        </r>
      </text>
    </comment>
    <comment ref="M17" authorId="0" shapeId="0" xr:uid="{00000000-0006-0000-0600-000008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60 dias</t>
        </r>
      </text>
    </comment>
    <comment ref="N17" authorId="0" shapeId="0" xr:uid="{00000000-0006-0000-0600-000009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75 dias</t>
        </r>
      </text>
    </comment>
    <comment ref="O17" authorId="0" shapeId="0" xr:uid="{00000000-0006-0000-0600-00000A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90 dias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Ewerton Rodrigues</author>
  </authors>
  <commentList>
    <comment ref="J11" authorId="0" shapeId="0" xr:uid="{00000000-0006-0000-0700-000001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Esse é o seu Dominio das disciplinas. Acima de 90% de acertos, abaixo de 20% Ruim</t>
        </r>
      </text>
    </comment>
    <comment ref="F17" authorId="0" shapeId="0" xr:uid="{00000000-0006-0000-0700-000002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24H</t>
        </r>
      </text>
    </comment>
    <comment ref="H17" authorId="0" shapeId="0" xr:uid="{00000000-0006-0000-0700-000003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7 dias</t>
        </r>
      </text>
    </comment>
    <comment ref="I17" authorId="0" shapeId="0" xr:uid="{00000000-0006-0000-0700-000004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15dias</t>
        </r>
      </text>
    </comment>
    <comment ref="J17" authorId="0" shapeId="0" xr:uid="{00000000-0006-0000-0700-000005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30 dias</t>
        </r>
      </text>
    </comment>
    <comment ref="K17" authorId="0" shapeId="0" xr:uid="{00000000-0006-0000-0700-000006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45 dias</t>
        </r>
      </text>
    </comment>
    <comment ref="L17" authorId="0" shapeId="0" xr:uid="{00000000-0006-0000-0700-000007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60 dias</t>
        </r>
      </text>
    </comment>
    <comment ref="M17" authorId="0" shapeId="0" xr:uid="{00000000-0006-0000-0700-000008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60 dias</t>
        </r>
      </text>
    </comment>
    <comment ref="N17" authorId="0" shapeId="0" xr:uid="{00000000-0006-0000-0700-000009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75 dias</t>
        </r>
      </text>
    </comment>
    <comment ref="O17" authorId="0" shapeId="0" xr:uid="{00000000-0006-0000-0700-00000A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90 dias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Ewerton Rodrigues</author>
  </authors>
  <commentList>
    <comment ref="J11" authorId="0" shapeId="0" xr:uid="{00000000-0006-0000-0800-000001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Esse é o seu Dominio das disciplinas. Acima de 90% de acertos, abaixo de 20% Ruim</t>
        </r>
      </text>
    </comment>
    <comment ref="F17" authorId="0" shapeId="0" xr:uid="{00000000-0006-0000-0800-000002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24H</t>
        </r>
      </text>
    </comment>
    <comment ref="H17" authorId="0" shapeId="0" xr:uid="{00000000-0006-0000-0800-000003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7 dias</t>
        </r>
      </text>
    </comment>
    <comment ref="I17" authorId="0" shapeId="0" xr:uid="{00000000-0006-0000-0800-000004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15dias</t>
        </r>
      </text>
    </comment>
    <comment ref="J17" authorId="0" shapeId="0" xr:uid="{00000000-0006-0000-0800-000005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30 dias</t>
        </r>
      </text>
    </comment>
    <comment ref="K17" authorId="0" shapeId="0" xr:uid="{00000000-0006-0000-0800-000006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45 dias</t>
        </r>
      </text>
    </comment>
    <comment ref="L17" authorId="0" shapeId="0" xr:uid="{00000000-0006-0000-0800-000007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60 dias</t>
        </r>
      </text>
    </comment>
    <comment ref="M17" authorId="0" shapeId="0" xr:uid="{00000000-0006-0000-0800-000008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60 dias</t>
        </r>
      </text>
    </comment>
    <comment ref="N17" authorId="0" shapeId="0" xr:uid="{00000000-0006-0000-0800-000009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75 dias</t>
        </r>
      </text>
    </comment>
    <comment ref="O17" authorId="0" shapeId="0" xr:uid="{00000000-0006-0000-0800-00000A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90 dias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Ewerton Rodrigues</author>
  </authors>
  <commentList>
    <comment ref="J11" authorId="0" shapeId="0" xr:uid="{00000000-0006-0000-0900-000001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Esse é o seu Dominio das disciplinas. Acima de 90% de acertos, abaixo de 20% Ruim</t>
        </r>
      </text>
    </comment>
    <comment ref="F17" authorId="0" shapeId="0" xr:uid="{00000000-0006-0000-0900-000002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24H</t>
        </r>
      </text>
    </comment>
    <comment ref="H17" authorId="0" shapeId="0" xr:uid="{00000000-0006-0000-0900-000003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7 dias</t>
        </r>
      </text>
    </comment>
    <comment ref="I17" authorId="0" shapeId="0" xr:uid="{00000000-0006-0000-0900-000004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15dias</t>
        </r>
      </text>
    </comment>
    <comment ref="J17" authorId="0" shapeId="0" xr:uid="{00000000-0006-0000-0900-000005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30 dias</t>
        </r>
      </text>
    </comment>
    <comment ref="K17" authorId="0" shapeId="0" xr:uid="{00000000-0006-0000-0900-000006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45 dias</t>
        </r>
      </text>
    </comment>
    <comment ref="L17" authorId="0" shapeId="0" xr:uid="{00000000-0006-0000-0900-000007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60 dias</t>
        </r>
      </text>
    </comment>
    <comment ref="M17" authorId="0" shapeId="0" xr:uid="{00000000-0006-0000-0900-000008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60 dias</t>
        </r>
      </text>
    </comment>
    <comment ref="N17" authorId="0" shapeId="0" xr:uid="{00000000-0006-0000-0900-000009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75 dias</t>
        </r>
      </text>
    </comment>
    <comment ref="O17" authorId="0" shapeId="0" xr:uid="{00000000-0006-0000-0900-00000A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90 dias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Ewerton Rodrigues</author>
  </authors>
  <commentList>
    <comment ref="J11" authorId="0" shapeId="0" xr:uid="{00000000-0006-0000-0A00-000001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Esse é o seu Dominio das disciplinas. Acima de 90% de acertos, abaixo de 20% Ruim</t>
        </r>
      </text>
    </comment>
    <comment ref="F17" authorId="0" shapeId="0" xr:uid="{00000000-0006-0000-0A00-000002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24H</t>
        </r>
      </text>
    </comment>
    <comment ref="H17" authorId="0" shapeId="0" xr:uid="{00000000-0006-0000-0A00-000003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7 dias</t>
        </r>
      </text>
    </comment>
    <comment ref="I17" authorId="0" shapeId="0" xr:uid="{00000000-0006-0000-0A00-000004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15dias</t>
        </r>
      </text>
    </comment>
    <comment ref="J17" authorId="0" shapeId="0" xr:uid="{00000000-0006-0000-0A00-000005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30 dias</t>
        </r>
      </text>
    </comment>
    <comment ref="K17" authorId="0" shapeId="0" xr:uid="{00000000-0006-0000-0A00-000006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45 dias</t>
        </r>
      </text>
    </comment>
    <comment ref="L17" authorId="0" shapeId="0" xr:uid="{00000000-0006-0000-0A00-000007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60 dias</t>
        </r>
      </text>
    </comment>
    <comment ref="M17" authorId="0" shapeId="0" xr:uid="{00000000-0006-0000-0A00-000008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60 dias</t>
        </r>
      </text>
    </comment>
    <comment ref="N17" authorId="0" shapeId="0" xr:uid="{00000000-0006-0000-0A00-000009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75 dias</t>
        </r>
      </text>
    </comment>
    <comment ref="O17" authorId="0" shapeId="0" xr:uid="{00000000-0006-0000-0A00-00000A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90 dias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Ewerton Rodrigues</author>
  </authors>
  <commentList>
    <comment ref="J11" authorId="0" shapeId="0" xr:uid="{00000000-0006-0000-0B00-000001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Esse é o seu Dominio das disciplinas. Acima de 90% de acertos, abaixo de 20% Ruim</t>
        </r>
      </text>
    </comment>
    <comment ref="F17" authorId="0" shapeId="0" xr:uid="{00000000-0006-0000-0B00-000002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24H</t>
        </r>
      </text>
    </comment>
    <comment ref="H17" authorId="0" shapeId="0" xr:uid="{00000000-0006-0000-0B00-000003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7 dias</t>
        </r>
      </text>
    </comment>
    <comment ref="I17" authorId="0" shapeId="0" xr:uid="{00000000-0006-0000-0B00-000004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15dias</t>
        </r>
      </text>
    </comment>
    <comment ref="J17" authorId="0" shapeId="0" xr:uid="{00000000-0006-0000-0B00-000005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30 dias</t>
        </r>
      </text>
    </comment>
    <comment ref="K17" authorId="0" shapeId="0" xr:uid="{00000000-0006-0000-0B00-000006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45 dias</t>
        </r>
      </text>
    </comment>
    <comment ref="L17" authorId="0" shapeId="0" xr:uid="{00000000-0006-0000-0B00-000007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60 dias</t>
        </r>
      </text>
    </comment>
    <comment ref="M17" authorId="0" shapeId="0" xr:uid="{00000000-0006-0000-0B00-000008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60 dias</t>
        </r>
      </text>
    </comment>
    <comment ref="N17" authorId="0" shapeId="0" xr:uid="{00000000-0006-0000-0B00-000009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75 dias</t>
        </r>
      </text>
    </comment>
    <comment ref="O17" authorId="0" shapeId="0" xr:uid="{00000000-0006-0000-0B00-00000A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90 dias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Ewerton Rodrigues</author>
  </authors>
  <commentList>
    <comment ref="J11" authorId="0" shapeId="0" xr:uid="{00000000-0006-0000-0C00-000001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Esse é o seu Dominio das disciplinas. Acima de 90% de acertos, abaixo de 20% Ruim</t>
        </r>
      </text>
    </comment>
    <comment ref="F17" authorId="0" shapeId="0" xr:uid="{00000000-0006-0000-0C00-000002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24H</t>
        </r>
      </text>
    </comment>
    <comment ref="H17" authorId="0" shapeId="0" xr:uid="{00000000-0006-0000-0C00-000003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7 dias</t>
        </r>
      </text>
    </comment>
    <comment ref="I17" authorId="0" shapeId="0" xr:uid="{00000000-0006-0000-0C00-000004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15dias</t>
        </r>
      </text>
    </comment>
    <comment ref="J17" authorId="0" shapeId="0" xr:uid="{00000000-0006-0000-0C00-000005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30 dias</t>
        </r>
      </text>
    </comment>
    <comment ref="K17" authorId="0" shapeId="0" xr:uid="{00000000-0006-0000-0C00-000006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45 dias</t>
        </r>
      </text>
    </comment>
    <comment ref="L17" authorId="0" shapeId="0" xr:uid="{00000000-0006-0000-0C00-000007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60 dias</t>
        </r>
      </text>
    </comment>
    <comment ref="M17" authorId="0" shapeId="0" xr:uid="{00000000-0006-0000-0C00-000008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60 dias</t>
        </r>
      </text>
    </comment>
    <comment ref="N17" authorId="0" shapeId="0" xr:uid="{00000000-0006-0000-0C00-000009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75 dias</t>
        </r>
      </text>
    </comment>
    <comment ref="O17" authorId="0" shapeId="0" xr:uid="{00000000-0006-0000-0C00-00000A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90 dias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Ewerton Rodrigues</author>
  </authors>
  <commentList>
    <comment ref="J11" authorId="0" shapeId="0" xr:uid="{00000000-0006-0000-0D00-000001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Esse é o seu Dominio das disciplinas. Acima de 90% de acertos, abaixo de 20% Ruim</t>
        </r>
      </text>
    </comment>
    <comment ref="F17" authorId="0" shapeId="0" xr:uid="{00000000-0006-0000-0D00-000002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24H</t>
        </r>
      </text>
    </comment>
    <comment ref="H17" authorId="0" shapeId="0" xr:uid="{00000000-0006-0000-0D00-000003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7 dias</t>
        </r>
      </text>
    </comment>
    <comment ref="I17" authorId="0" shapeId="0" xr:uid="{00000000-0006-0000-0D00-000004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15dias</t>
        </r>
      </text>
    </comment>
    <comment ref="J17" authorId="0" shapeId="0" xr:uid="{00000000-0006-0000-0D00-000005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30 dias</t>
        </r>
      </text>
    </comment>
    <comment ref="K17" authorId="0" shapeId="0" xr:uid="{00000000-0006-0000-0D00-000006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45 dias</t>
        </r>
      </text>
    </comment>
    <comment ref="L17" authorId="0" shapeId="0" xr:uid="{00000000-0006-0000-0D00-000007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60 dias</t>
        </r>
      </text>
    </comment>
    <comment ref="M17" authorId="0" shapeId="0" xr:uid="{00000000-0006-0000-0D00-000008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60 dias</t>
        </r>
      </text>
    </comment>
    <comment ref="N17" authorId="0" shapeId="0" xr:uid="{00000000-0006-0000-0D00-000009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75 dias</t>
        </r>
      </text>
    </comment>
    <comment ref="O17" authorId="0" shapeId="0" xr:uid="{00000000-0006-0000-0D00-00000A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90 dias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Ewerton Rodrigues</author>
  </authors>
  <commentList>
    <comment ref="J11" authorId="0" shapeId="0" xr:uid="{00000000-0006-0000-0E00-000001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Esse é o seu Dominio das disciplinas. Acima de 90% de acertos, abaixo de 20% Ruim</t>
        </r>
      </text>
    </comment>
    <comment ref="F17" authorId="0" shapeId="0" xr:uid="{00000000-0006-0000-0E00-000002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24H</t>
        </r>
      </text>
    </comment>
    <comment ref="H17" authorId="0" shapeId="0" xr:uid="{00000000-0006-0000-0E00-000003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7 dias</t>
        </r>
      </text>
    </comment>
    <comment ref="I17" authorId="0" shapeId="0" xr:uid="{00000000-0006-0000-0E00-000004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15dias</t>
        </r>
      </text>
    </comment>
    <comment ref="J17" authorId="0" shapeId="0" xr:uid="{00000000-0006-0000-0E00-000005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30 dias</t>
        </r>
      </text>
    </comment>
    <comment ref="K17" authorId="0" shapeId="0" xr:uid="{00000000-0006-0000-0E00-000006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45 dias</t>
        </r>
      </text>
    </comment>
    <comment ref="L17" authorId="0" shapeId="0" xr:uid="{00000000-0006-0000-0E00-000007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60 dias</t>
        </r>
      </text>
    </comment>
    <comment ref="M17" authorId="0" shapeId="0" xr:uid="{00000000-0006-0000-0E00-000008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60 dias</t>
        </r>
      </text>
    </comment>
    <comment ref="N17" authorId="0" shapeId="0" xr:uid="{00000000-0006-0000-0E00-000009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75 dias</t>
        </r>
      </text>
    </comment>
    <comment ref="O17" authorId="0" shapeId="0" xr:uid="{00000000-0006-0000-0E00-00000A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90 dias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Ewerton Rodrigues</author>
  </authors>
  <commentList>
    <comment ref="J11" authorId="0" shapeId="0" xr:uid="{00000000-0006-0000-0F00-000001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Esse é o seu Dominio das disciplinas. Acima de 90% de acertos, abaixo de 20% Ruim</t>
        </r>
      </text>
    </comment>
    <comment ref="F17" authorId="0" shapeId="0" xr:uid="{00000000-0006-0000-0F00-000002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24H</t>
        </r>
      </text>
    </comment>
    <comment ref="H17" authorId="0" shapeId="0" xr:uid="{00000000-0006-0000-0F00-000003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7 dias</t>
        </r>
      </text>
    </comment>
    <comment ref="I17" authorId="0" shapeId="0" xr:uid="{00000000-0006-0000-0F00-000004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15dias</t>
        </r>
      </text>
    </comment>
    <comment ref="J17" authorId="0" shapeId="0" xr:uid="{00000000-0006-0000-0F00-000005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30 dias</t>
        </r>
      </text>
    </comment>
    <comment ref="K17" authorId="0" shapeId="0" xr:uid="{00000000-0006-0000-0F00-000006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45 dias</t>
        </r>
      </text>
    </comment>
    <comment ref="L17" authorId="0" shapeId="0" xr:uid="{00000000-0006-0000-0F00-000007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60 dias</t>
        </r>
      </text>
    </comment>
    <comment ref="M17" authorId="0" shapeId="0" xr:uid="{00000000-0006-0000-0F00-000008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60 dias</t>
        </r>
      </text>
    </comment>
    <comment ref="N17" authorId="0" shapeId="0" xr:uid="{00000000-0006-0000-0F00-000009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75 dias</t>
        </r>
      </text>
    </comment>
    <comment ref="O17" authorId="0" shapeId="0" xr:uid="{00000000-0006-0000-0F00-00000A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90 dias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Ewerton Rodrigues</author>
  </authors>
  <commentList>
    <comment ref="J11" authorId="0" shapeId="0" xr:uid="{00000000-0006-0000-1000-000001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Esse é o seu Dominio das disciplinas. Acima de 90% de acertos, abaixo de 20% Ruim</t>
        </r>
      </text>
    </comment>
    <comment ref="F17" authorId="0" shapeId="0" xr:uid="{00000000-0006-0000-1000-000002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24H</t>
        </r>
      </text>
    </comment>
    <comment ref="H17" authorId="0" shapeId="0" xr:uid="{00000000-0006-0000-1000-000003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7 dias</t>
        </r>
      </text>
    </comment>
    <comment ref="I17" authorId="0" shapeId="0" xr:uid="{00000000-0006-0000-1000-000004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15dias</t>
        </r>
      </text>
    </comment>
    <comment ref="J17" authorId="0" shapeId="0" xr:uid="{00000000-0006-0000-1000-000005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30 dias</t>
        </r>
      </text>
    </comment>
    <comment ref="K17" authorId="0" shapeId="0" xr:uid="{00000000-0006-0000-1000-000006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45 dias</t>
        </r>
      </text>
    </comment>
    <comment ref="L17" authorId="0" shapeId="0" xr:uid="{00000000-0006-0000-1000-000007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60 dias</t>
        </r>
      </text>
    </comment>
    <comment ref="M17" authorId="0" shapeId="0" xr:uid="{00000000-0006-0000-1000-000008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60 dias</t>
        </r>
      </text>
    </comment>
    <comment ref="N17" authorId="0" shapeId="0" xr:uid="{00000000-0006-0000-1000-000009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75 dias</t>
        </r>
      </text>
    </comment>
    <comment ref="O17" authorId="0" shapeId="0" xr:uid="{00000000-0006-0000-1000-00000A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90 dias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Ewerton Rodrigues</author>
  </authors>
  <commentList>
    <comment ref="J11" authorId="0" shapeId="0" xr:uid="{00000000-0006-0000-1100-000001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Esse é o seu Dominio das disciplinas. Acima de 90% de acertos, abaixo de 20% Ruim</t>
        </r>
      </text>
    </comment>
    <comment ref="F17" authorId="0" shapeId="0" xr:uid="{00000000-0006-0000-1100-000002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24H</t>
        </r>
      </text>
    </comment>
    <comment ref="H17" authorId="0" shapeId="0" xr:uid="{00000000-0006-0000-1100-000003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7 dias</t>
        </r>
      </text>
    </comment>
    <comment ref="I17" authorId="0" shapeId="0" xr:uid="{00000000-0006-0000-1100-000004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15dias</t>
        </r>
      </text>
    </comment>
    <comment ref="J17" authorId="0" shapeId="0" xr:uid="{00000000-0006-0000-1100-000005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30 dias</t>
        </r>
      </text>
    </comment>
    <comment ref="K17" authorId="0" shapeId="0" xr:uid="{00000000-0006-0000-1100-000006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45 dias</t>
        </r>
      </text>
    </comment>
    <comment ref="L17" authorId="0" shapeId="0" xr:uid="{00000000-0006-0000-1100-000007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60 dias</t>
        </r>
      </text>
    </comment>
    <comment ref="M17" authorId="0" shapeId="0" xr:uid="{00000000-0006-0000-1100-000008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60 dias</t>
        </r>
      </text>
    </comment>
    <comment ref="N17" authorId="0" shapeId="0" xr:uid="{00000000-0006-0000-1100-000009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75 dias</t>
        </r>
      </text>
    </comment>
    <comment ref="O17" authorId="0" shapeId="0" xr:uid="{00000000-0006-0000-1100-00000A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90 dias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Ewerton Rodrigues</author>
  </authors>
  <commentList>
    <comment ref="J11" authorId="0" shapeId="0" xr:uid="{00000000-0006-0000-1200-000001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Esse é o seu Dominio das disciplinas. Acima de 90% de acertos, abaixo de 20% Ruim</t>
        </r>
      </text>
    </comment>
    <comment ref="F17" authorId="0" shapeId="0" xr:uid="{00000000-0006-0000-1200-000002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24H</t>
        </r>
      </text>
    </comment>
    <comment ref="H17" authorId="0" shapeId="0" xr:uid="{00000000-0006-0000-1200-000003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7 dias</t>
        </r>
      </text>
    </comment>
    <comment ref="I17" authorId="0" shapeId="0" xr:uid="{00000000-0006-0000-1200-000004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15dias</t>
        </r>
      </text>
    </comment>
    <comment ref="J17" authorId="0" shapeId="0" xr:uid="{00000000-0006-0000-1200-000005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30 dias</t>
        </r>
      </text>
    </comment>
    <comment ref="K17" authorId="0" shapeId="0" xr:uid="{00000000-0006-0000-1200-000006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45 dias</t>
        </r>
      </text>
    </comment>
    <comment ref="L17" authorId="0" shapeId="0" xr:uid="{00000000-0006-0000-1200-000007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60 dias</t>
        </r>
      </text>
    </comment>
    <comment ref="M17" authorId="0" shapeId="0" xr:uid="{00000000-0006-0000-1200-000008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60 dias</t>
        </r>
      </text>
    </comment>
    <comment ref="N17" authorId="0" shapeId="0" xr:uid="{00000000-0006-0000-1200-000009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75 dias</t>
        </r>
      </text>
    </comment>
    <comment ref="O17" authorId="0" shapeId="0" xr:uid="{00000000-0006-0000-1200-00000A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90 dias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Ewerton Rodrigues</author>
  </authors>
  <commentList>
    <comment ref="J11" authorId="0" shapeId="0" xr:uid="{00000000-0006-0000-1300-000001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Esse é o seu Dominio das disciplinas. Acima de 90% de acertos, abaixo de 20% Ruim</t>
        </r>
      </text>
    </comment>
    <comment ref="F17" authorId="0" shapeId="0" xr:uid="{00000000-0006-0000-1300-000002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24H</t>
        </r>
      </text>
    </comment>
    <comment ref="H17" authorId="0" shapeId="0" xr:uid="{00000000-0006-0000-1300-000003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7 dias</t>
        </r>
      </text>
    </comment>
    <comment ref="I17" authorId="0" shapeId="0" xr:uid="{00000000-0006-0000-1300-000004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15dias</t>
        </r>
      </text>
    </comment>
    <comment ref="J17" authorId="0" shapeId="0" xr:uid="{00000000-0006-0000-1300-000005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30 dias</t>
        </r>
      </text>
    </comment>
    <comment ref="K17" authorId="0" shapeId="0" xr:uid="{00000000-0006-0000-1300-000006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45 dias</t>
        </r>
      </text>
    </comment>
    <comment ref="L17" authorId="0" shapeId="0" xr:uid="{00000000-0006-0000-1300-000007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60 dias</t>
        </r>
      </text>
    </comment>
    <comment ref="M17" authorId="0" shapeId="0" xr:uid="{00000000-0006-0000-1300-000008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60 dias</t>
        </r>
      </text>
    </comment>
    <comment ref="N17" authorId="0" shapeId="0" xr:uid="{00000000-0006-0000-1300-000009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75 dias</t>
        </r>
      </text>
    </comment>
    <comment ref="O17" authorId="0" shapeId="0" xr:uid="{00000000-0006-0000-1300-00000A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90 dias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Ewerton Rodrigues</author>
  </authors>
  <commentList>
    <comment ref="J11" authorId="0" shapeId="0" xr:uid="{00000000-0006-0000-1400-000001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Esse é o seu Dominio das disciplinas. Acima de 90% de acertos, abaixo de 20% Ruim</t>
        </r>
      </text>
    </comment>
    <comment ref="F17" authorId="0" shapeId="0" xr:uid="{00000000-0006-0000-1400-000002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24H</t>
        </r>
      </text>
    </comment>
    <comment ref="H17" authorId="0" shapeId="0" xr:uid="{00000000-0006-0000-1400-000003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7 dias</t>
        </r>
      </text>
    </comment>
    <comment ref="I17" authorId="0" shapeId="0" xr:uid="{00000000-0006-0000-1400-000004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15dias</t>
        </r>
      </text>
    </comment>
    <comment ref="J17" authorId="0" shapeId="0" xr:uid="{00000000-0006-0000-1400-000005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30 dias</t>
        </r>
      </text>
    </comment>
    <comment ref="K17" authorId="0" shapeId="0" xr:uid="{00000000-0006-0000-1400-000006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45 dias</t>
        </r>
      </text>
    </comment>
    <comment ref="L17" authorId="0" shapeId="0" xr:uid="{00000000-0006-0000-1400-000007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60 dias</t>
        </r>
      </text>
    </comment>
    <comment ref="M17" authorId="0" shapeId="0" xr:uid="{00000000-0006-0000-1400-000008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60 dias</t>
        </r>
      </text>
    </comment>
    <comment ref="N17" authorId="0" shapeId="0" xr:uid="{00000000-0006-0000-1400-000009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75 dias</t>
        </r>
      </text>
    </comment>
    <comment ref="O17" authorId="0" shapeId="0" xr:uid="{00000000-0006-0000-1400-00000A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Revisões para serem feitas em até 90 dias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Ewerton Rodrigues</author>
  </authors>
  <commentList>
    <comment ref="K28" authorId="0" shapeId="0" xr:uid="{00000000-0006-0000-1500-000001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Você pode ver a Soma/Média/Minimo ou Maxímo de Horas por dia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Ewerton Rodrigues</author>
  </authors>
  <commentList>
    <comment ref="K28" authorId="0" shapeId="0" xr:uid="{00000000-0006-0000-1600-000001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Você pode ver a Soma/Média/Minimo ou Maxímo de Horas por dia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Ewerton Rodrigues</author>
  </authors>
  <commentList>
    <comment ref="K28" authorId="0" shapeId="0" xr:uid="{00000000-0006-0000-1700-000001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Você pode ver a Soma/Média/Minimo ou Maxímo de Horas por dia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Ewerton Rodrigues</author>
  </authors>
  <commentList>
    <comment ref="K28" authorId="0" shapeId="0" xr:uid="{00000000-0006-0000-1800-000001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Você pode ver a Soma/Média/Minimo ou Maxímo de Horas por dia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Ewerton Rodrigues</author>
  </authors>
  <commentList>
    <comment ref="K28" authorId="0" shapeId="0" xr:uid="{00000000-0006-0000-1900-000001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Você pode ver a Soma/Média/Minimo ou Maxímo de Horas por dia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Ewerton Rodrigues</author>
  </authors>
  <commentList>
    <comment ref="K28" authorId="0" shapeId="0" xr:uid="{00000000-0006-0000-1A00-000001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Você pode ver a Soma/Média/Minimo ou Maxímo de Horas por dia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Ewerton Rodrigues</author>
  </authors>
  <commentList>
    <comment ref="K28" authorId="0" shapeId="0" xr:uid="{00000000-0006-0000-1B00-000001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Você pode ver a Soma/Média/Minimo ou Maxímo de Horas por dia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Ewerton Rodrigues</author>
  </authors>
  <commentList>
    <comment ref="K28" authorId="0" shapeId="0" xr:uid="{00000000-0006-0000-1C00-000001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Você pode ver a Soma/Média/Minimo ou Maxímo de Horas por dia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Ewerton Rodrigues</author>
  </authors>
  <commentList>
    <comment ref="K28" authorId="0" shapeId="0" xr:uid="{00000000-0006-0000-1D00-000001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Você pode ver a Soma/Média/Minimo ou Maxímo de Horas por dia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Ewerton Rodrigues</author>
  </authors>
  <commentList>
    <comment ref="K28" authorId="0" shapeId="0" xr:uid="{00000000-0006-0000-1E00-000001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Você pode ver a Soma/Média/Minimo ou Maxímo de Horas por dia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Ewerton Rodrigues</author>
  </authors>
  <commentList>
    <comment ref="K28" authorId="0" shapeId="0" xr:uid="{00000000-0006-0000-1F00-000001000000}">
      <text>
        <r>
          <rPr>
            <b/>
            <sz val="9"/>
            <color indexed="81"/>
            <rFont val="Segoe UI"/>
            <family val="2"/>
          </rPr>
          <t>Ewerton Rodrigues:</t>
        </r>
        <r>
          <rPr>
            <sz val="9"/>
            <color indexed="81"/>
            <rFont val="Segoe UI"/>
            <family val="2"/>
          </rPr>
          <t xml:space="preserve">
Você pode ver a Soma/Média/Minimo ou Maxímo de Horas por dia</t>
        </r>
      </text>
    </comment>
  </commentList>
</comments>
</file>

<file path=xl/sharedStrings.xml><?xml version="1.0" encoding="utf-8"?>
<sst xmlns="http://schemas.openxmlformats.org/spreadsheetml/2006/main" count="7677" uniqueCount="577">
  <si>
    <t>Data da Prova</t>
  </si>
  <si>
    <t>Nivel</t>
  </si>
  <si>
    <t>Hora</t>
  </si>
  <si>
    <t>Segunda-Feira</t>
  </si>
  <si>
    <t>Terça-Feira</t>
  </si>
  <si>
    <t>Quarta-Feira</t>
  </si>
  <si>
    <t>Quinta-Feira</t>
  </si>
  <si>
    <t>Sexta-Feira</t>
  </si>
  <si>
    <t>Sábado</t>
  </si>
  <si>
    <t>Domingo</t>
  </si>
  <si>
    <t>05:00 às 05:30</t>
  </si>
  <si>
    <t>05:30 às 06:00</t>
  </si>
  <si>
    <t>06:00 às 06:30</t>
  </si>
  <si>
    <t>06:30 às 07:00</t>
  </si>
  <si>
    <t>08:00 às 08:30</t>
  </si>
  <si>
    <t>07:30 às 08:00</t>
  </si>
  <si>
    <t>09:00 às 09:30</t>
  </si>
  <si>
    <t>09:30 às 10:00</t>
  </si>
  <si>
    <t>10:00 às 10:30</t>
  </si>
  <si>
    <t>10:30 às 11:00</t>
  </si>
  <si>
    <t>11:00 às 11:30</t>
  </si>
  <si>
    <t>11:30 às 12:00</t>
  </si>
  <si>
    <t>12:00 às 12:30</t>
  </si>
  <si>
    <t>12:30 às 13:00</t>
  </si>
  <si>
    <t>Estudar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</si>
  <si>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</si>
  <si>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</si>
  <si>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</si>
  <si>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</si>
  <si>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</si>
  <si>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</si>
  <si>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</si>
  <si>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</si>
  <si>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</si>
  <si>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</si>
  <si>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</si>
  <si>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Horas de Estudos Totais</t>
  </si>
  <si>
    <t>Progresso</t>
  </si>
  <si>
    <t>N</t>
  </si>
  <si>
    <t>Concurso</t>
  </si>
  <si>
    <t>Edital foi Publicado ?</t>
  </si>
  <si>
    <t>Horario de Estudos por Dia</t>
  </si>
  <si>
    <t>Simulado</t>
  </si>
  <si>
    <t>Revisão</t>
  </si>
  <si>
    <t>calculo q. horario</t>
  </si>
  <si>
    <t>revisao</t>
  </si>
  <si>
    <t xml:space="preserve"> 07:00 às 07:30</t>
  </si>
  <si>
    <t>13:00 às 13:30</t>
  </si>
  <si>
    <t>13:30 às14:00</t>
  </si>
  <si>
    <t>14:00 às 14:30</t>
  </si>
  <si>
    <t>14:30 às 15:00</t>
  </si>
  <si>
    <t>15:00 às 15:30</t>
  </si>
  <si>
    <t>15:30 às 16:00</t>
  </si>
  <si>
    <t xml:space="preserve"> 16:00 às 16:30</t>
  </si>
  <si>
    <t>16:30 às 17:00</t>
  </si>
  <si>
    <t>17:00 às 17:30</t>
  </si>
  <si>
    <t>17:30 às 18:00</t>
  </si>
  <si>
    <t>18:00 às 18:30</t>
  </si>
  <si>
    <t>18:30 às 19:00</t>
  </si>
  <si>
    <t>19:00 às 19:30</t>
  </si>
  <si>
    <t>19:30 às 20:00</t>
  </si>
  <si>
    <t>20:00 às 20:30</t>
  </si>
  <si>
    <t>20:30 às 21:00</t>
  </si>
  <si>
    <t>21:00 às 21:30</t>
  </si>
  <si>
    <t>21:30 às 22:00</t>
  </si>
  <si>
    <t>22:00 às22:30</t>
  </si>
  <si>
    <t>22:30 às 23:00</t>
  </si>
  <si>
    <t>23:00 às 23:30</t>
  </si>
  <si>
    <t>23:30 às 24:00</t>
  </si>
  <si>
    <t>Tempo Total de Estudos da Semana</t>
  </si>
  <si>
    <t>segunda-feira</t>
  </si>
  <si>
    <t>terça-feira</t>
  </si>
  <si>
    <t>quarta-feira</t>
  </si>
  <si>
    <t>quinta-feira</t>
  </si>
  <si>
    <t>sexta-feira</t>
  </si>
  <si>
    <t>sábado</t>
  </si>
  <si>
    <t>domingo</t>
  </si>
  <si>
    <t>Matérias</t>
  </si>
  <si>
    <t>Pontos</t>
  </si>
  <si>
    <t>Data  de Ínicio</t>
  </si>
  <si>
    <t>Salário ?</t>
  </si>
  <si>
    <t>Status</t>
  </si>
  <si>
    <t xml:space="preserve">Data de Hoje  </t>
  </si>
  <si>
    <t>Facíl</t>
  </si>
  <si>
    <t>Qantidade de Questões</t>
  </si>
  <si>
    <t>Acertos</t>
  </si>
  <si>
    <t>Google</t>
  </si>
  <si>
    <t>Youtube</t>
  </si>
  <si>
    <t>Peso</t>
  </si>
  <si>
    <t>►</t>
  </si>
  <si>
    <t>Início dos Estudos</t>
  </si>
  <si>
    <t>Questões</t>
  </si>
  <si>
    <t>Não</t>
  </si>
  <si>
    <t>Pendentes</t>
  </si>
  <si>
    <t>Materias</t>
  </si>
  <si>
    <t>24 H</t>
  </si>
  <si>
    <t>7 Dias</t>
  </si>
  <si>
    <t>15 Dias</t>
  </si>
  <si>
    <t>30 Dias</t>
  </si>
  <si>
    <t xml:space="preserve">Conteúdo </t>
  </si>
  <si>
    <t>Rev 4</t>
  </si>
  <si>
    <t>(%)</t>
  </si>
  <si>
    <t>1-jan</t>
  </si>
  <si>
    <t>2-jan</t>
  </si>
  <si>
    <t>3-jan</t>
  </si>
  <si>
    <t>4-jan</t>
  </si>
  <si>
    <t>5-jan</t>
  </si>
  <si>
    <t>6-jan</t>
  </si>
  <si>
    <t>7-jan</t>
  </si>
  <si>
    <t>8-jan</t>
  </si>
  <si>
    <t>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</si>
  <si>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</si>
  <si>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</si>
  <si>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</si>
  <si>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</si>
  <si>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</si>
  <si>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</si>
  <si>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</si>
  <si>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</si>
  <si>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</si>
  <si>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</si>
  <si>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</si>
  <si>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</si>
  <si>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</si>
  <si>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</si>
  <si>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</si>
  <si>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</si>
  <si>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</si>
  <si>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</si>
  <si>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</si>
  <si>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</si>
  <si>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</si>
  <si>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</si>
  <si>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janeiro</t>
  </si>
  <si>
    <t xml:space="preserve">               Matéria</t>
  </si>
  <si>
    <t>60 Dias</t>
  </si>
  <si>
    <t>45 Dias</t>
  </si>
  <si>
    <t>Rev 6</t>
  </si>
  <si>
    <t>Rev 7</t>
  </si>
  <si>
    <t>75 Dias</t>
  </si>
  <si>
    <t>Rev 8</t>
  </si>
  <si>
    <t>90 Dias</t>
  </si>
  <si>
    <t xml:space="preserve">Horas de Estudos </t>
  </si>
  <si>
    <t xml:space="preserve">Pontuação Total  </t>
  </si>
  <si>
    <t>Sim</t>
  </si>
  <si>
    <t>1-fev</t>
  </si>
  <si>
    <t>2-fev</t>
  </si>
  <si>
    <t>3-fev</t>
  </si>
  <si>
    <t>4-fev</t>
  </si>
  <si>
    <t>5-fev</t>
  </si>
  <si>
    <t>6-fev</t>
  </si>
  <si>
    <t>7-fev</t>
  </si>
  <si>
    <t>9-fev</t>
  </si>
  <si>
    <t>10-fev</t>
  </si>
  <si>
    <t>11-fev</t>
  </si>
  <si>
    <t>12-fev</t>
  </si>
  <si>
    <t>13-fev</t>
  </si>
  <si>
    <t>14-fev</t>
  </si>
  <si>
    <t>15-fev</t>
  </si>
  <si>
    <t>16-fev</t>
  </si>
  <si>
    <t>17-fev</t>
  </si>
  <si>
    <t>18-fev</t>
  </si>
  <si>
    <t>19-fev</t>
  </si>
  <si>
    <t>20-fev</t>
  </si>
  <si>
    <t>21-fev</t>
  </si>
  <si>
    <t>23-fev</t>
  </si>
  <si>
    <t>24-fev</t>
  </si>
  <si>
    <t>25-fev</t>
  </si>
  <si>
    <t>26-fev</t>
  </si>
  <si>
    <t>27-fev</t>
  </si>
  <si>
    <t>28-fev</t>
  </si>
  <si>
    <t>1-mar</t>
  </si>
  <si>
    <t>2-mar</t>
  </si>
  <si>
    <t>3-mar</t>
  </si>
  <si>
    <t>4-mar</t>
  </si>
  <si>
    <t>5-mar</t>
  </si>
  <si>
    <t>6-mar</t>
  </si>
  <si>
    <t>7-mar</t>
  </si>
  <si>
    <t>8-mar</t>
  </si>
  <si>
    <t>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</si>
  <si>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</si>
  <si>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</si>
  <si>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</si>
  <si>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</si>
  <si>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</si>
  <si>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</si>
  <si>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</si>
  <si>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</si>
  <si>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</si>
  <si>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</si>
  <si>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</si>
  <si>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</si>
  <si>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</si>
  <si>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</si>
  <si>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</si>
  <si>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</si>
  <si>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</si>
  <si>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</si>
  <si>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</si>
  <si>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</si>
  <si>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</si>
  <si>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</si>
  <si>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1-abr</t>
  </si>
  <si>
    <t>2-abr</t>
  </si>
  <si>
    <t>3-abr</t>
  </si>
  <si>
    <t>4-abr</t>
  </si>
  <si>
    <t>5-abr</t>
  </si>
  <si>
    <t>6-abr</t>
  </si>
  <si>
    <t>7-abr</t>
  </si>
  <si>
    <t>8-abr</t>
  </si>
  <si>
    <t>9-abr</t>
  </si>
  <si>
    <t>10-abr</t>
  </si>
  <si>
    <t>11-abr</t>
  </si>
  <si>
    <t>12-abr</t>
  </si>
  <si>
    <t>13-abr</t>
  </si>
  <si>
    <t>14-abr</t>
  </si>
  <si>
    <t>15-abr</t>
  </si>
  <si>
    <t>16-abr</t>
  </si>
  <si>
    <t>17-abr</t>
  </si>
  <si>
    <t>18-abr</t>
  </si>
  <si>
    <t>19-abr</t>
  </si>
  <si>
    <t>20-abr</t>
  </si>
  <si>
    <t>21-abr</t>
  </si>
  <si>
    <t>22-abr</t>
  </si>
  <si>
    <t>23-abr</t>
  </si>
  <si>
    <t>24-abr</t>
  </si>
  <si>
    <t>25-abr</t>
  </si>
  <si>
    <t>26-abr</t>
  </si>
  <si>
    <t>27-abr</t>
  </si>
  <si>
    <t>28-abr</t>
  </si>
  <si>
    <t>29-abr</t>
  </si>
  <si>
    <t>30-abr</t>
  </si>
  <si>
    <t>1-mai</t>
  </si>
  <si>
    <t>2-mai</t>
  </si>
  <si>
    <t>3-mai</t>
  </si>
  <si>
    <t>4-mai</t>
  </si>
  <si>
    <t>5-mai</t>
  </si>
  <si>
    <t>6-mai</t>
  </si>
  <si>
    <t>7-mai</t>
  </si>
  <si>
    <t>8-mai</t>
  </si>
  <si>
    <t>9-mai</t>
  </si>
  <si>
    <t>10-mai</t>
  </si>
  <si>
    <t>11-mai</t>
  </si>
  <si>
    <t>12-mai</t>
  </si>
  <si>
    <t>13-mai</t>
  </si>
  <si>
    <t>14-mai</t>
  </si>
  <si>
    <t>15-mai</t>
  </si>
  <si>
    <t>16-mai</t>
  </si>
  <si>
    <t>17-mai</t>
  </si>
  <si>
    <t>18-mai</t>
  </si>
  <si>
    <t>19-mai</t>
  </si>
  <si>
    <t>20-mai</t>
  </si>
  <si>
    <t>21-mai</t>
  </si>
  <si>
    <t>22-mai</t>
  </si>
  <si>
    <t>23-mai</t>
  </si>
  <si>
    <t>24-mai</t>
  </si>
  <si>
    <t>25-mai</t>
  </si>
  <si>
    <t>26-mai</t>
  </si>
  <si>
    <t>27-mai</t>
  </si>
  <si>
    <t>28-mai</t>
  </si>
  <si>
    <t>29-mai</t>
  </si>
  <si>
    <t>30-mai</t>
  </si>
  <si>
    <t>31-mai</t>
  </si>
  <si>
    <t>1-jun</t>
  </si>
  <si>
    <t>2-jun</t>
  </si>
  <si>
    <t>3-jun</t>
  </si>
  <si>
    <t>4-jun</t>
  </si>
  <si>
    <t>5-jun</t>
  </si>
  <si>
    <t>6-jun</t>
  </si>
  <si>
    <t>7-jun</t>
  </si>
  <si>
    <t>8-jun</t>
  </si>
  <si>
    <t>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</si>
  <si>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</si>
  <si>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</si>
  <si>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</si>
  <si>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</si>
  <si>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</si>
  <si>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</si>
  <si>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</si>
  <si>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</si>
  <si>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</si>
  <si>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</si>
  <si>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</si>
  <si>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</si>
  <si>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</si>
  <si>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</si>
  <si>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</si>
  <si>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</si>
  <si>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</si>
  <si>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</si>
  <si>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</si>
  <si>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</si>
  <si>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</si>
  <si>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1-jul</t>
  </si>
  <si>
    <t>2-jul</t>
  </si>
  <si>
    <t>3-jul</t>
  </si>
  <si>
    <t>4-jul</t>
  </si>
  <si>
    <t>5-jul</t>
  </si>
  <si>
    <t>6-jul</t>
  </si>
  <si>
    <t>7-jul</t>
  </si>
  <si>
    <t>8-jul</t>
  </si>
  <si>
    <t>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</si>
  <si>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</si>
  <si>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</si>
  <si>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</si>
  <si>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</si>
  <si>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</si>
  <si>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</si>
  <si>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</si>
  <si>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</si>
  <si>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</si>
  <si>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</si>
  <si>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</si>
  <si>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</si>
  <si>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</si>
  <si>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</si>
  <si>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</si>
  <si>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</si>
  <si>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</si>
  <si>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</si>
  <si>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</si>
  <si>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</si>
  <si>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</si>
  <si>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</si>
  <si>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1-ago</t>
  </si>
  <si>
    <t>2-ago</t>
  </si>
  <si>
    <t>3-ago</t>
  </si>
  <si>
    <t>4-ago</t>
  </si>
  <si>
    <t>5-ago</t>
  </si>
  <si>
    <t>6-ago</t>
  </si>
  <si>
    <t>7-ago</t>
  </si>
  <si>
    <t>8-ago</t>
  </si>
  <si>
    <t>9-ago</t>
  </si>
  <si>
    <t>10-ago</t>
  </si>
  <si>
    <t>11-ago</t>
  </si>
  <si>
    <t>12-ago</t>
  </si>
  <si>
    <t>13-ago</t>
  </si>
  <si>
    <t>14-ago</t>
  </si>
  <si>
    <t>15-ago</t>
  </si>
  <si>
    <t>16-ago</t>
  </si>
  <si>
    <t>17-ago</t>
  </si>
  <si>
    <t>18-ago</t>
  </si>
  <si>
    <t>19-ago</t>
  </si>
  <si>
    <t>20-ago</t>
  </si>
  <si>
    <t>21-ago</t>
  </si>
  <si>
    <t>22-ago</t>
  </si>
  <si>
    <t>23-ago</t>
  </si>
  <si>
    <t>24-ago</t>
  </si>
  <si>
    <t>25-ago</t>
  </si>
  <si>
    <t>26-ago</t>
  </si>
  <si>
    <t>27-ago</t>
  </si>
  <si>
    <t>28-ago</t>
  </si>
  <si>
    <t>29-ago</t>
  </si>
  <si>
    <t>30-ago</t>
  </si>
  <si>
    <t>31-ago</t>
  </si>
  <si>
    <t>1-set</t>
  </si>
  <si>
    <t>2-set</t>
  </si>
  <si>
    <t>3-set</t>
  </si>
  <si>
    <t>4-set</t>
  </si>
  <si>
    <t>5-set</t>
  </si>
  <si>
    <t>6-set</t>
  </si>
  <si>
    <t>7-set</t>
  </si>
  <si>
    <t>8-set</t>
  </si>
  <si>
    <t>9-set</t>
  </si>
  <si>
    <t>10-set</t>
  </si>
  <si>
    <t>11-set</t>
  </si>
  <si>
    <t>12-set</t>
  </si>
  <si>
    <t>13-set</t>
  </si>
  <si>
    <t>14-set</t>
  </si>
  <si>
    <t>15-set</t>
  </si>
  <si>
    <t>16-set</t>
  </si>
  <si>
    <t>17-set</t>
  </si>
  <si>
    <t>18-set</t>
  </si>
  <si>
    <t>19-set</t>
  </si>
  <si>
    <t>20-set</t>
  </si>
  <si>
    <t>21-set</t>
  </si>
  <si>
    <t>22-set</t>
  </si>
  <si>
    <t>23-set</t>
  </si>
  <si>
    <t>24-set</t>
  </si>
  <si>
    <t>25-set</t>
  </si>
  <si>
    <t>26-set</t>
  </si>
  <si>
    <t>27-set</t>
  </si>
  <si>
    <t>28-set</t>
  </si>
  <si>
    <t>29-set</t>
  </si>
  <si>
    <t>30-set</t>
  </si>
  <si>
    <t>1-out</t>
  </si>
  <si>
    <t>2-out</t>
  </si>
  <si>
    <t>3-out</t>
  </si>
  <si>
    <t>4-out</t>
  </si>
  <si>
    <t>5-out</t>
  </si>
  <si>
    <t>6-out</t>
  </si>
  <si>
    <t>7-out</t>
  </si>
  <si>
    <t>8-out</t>
  </si>
  <si>
    <t>9-out</t>
  </si>
  <si>
    <t>10-out</t>
  </si>
  <si>
    <t>11-out</t>
  </si>
  <si>
    <t>12-out</t>
  </si>
  <si>
    <t>13-out</t>
  </si>
  <si>
    <t>14-out</t>
  </si>
  <si>
    <t>15-out</t>
  </si>
  <si>
    <t>16-out</t>
  </si>
  <si>
    <t>17-out</t>
  </si>
  <si>
    <t>18-out</t>
  </si>
  <si>
    <t>19-out</t>
  </si>
  <si>
    <t>20-out</t>
  </si>
  <si>
    <t>21-out</t>
  </si>
  <si>
    <t>22-out</t>
  </si>
  <si>
    <t>23-out</t>
  </si>
  <si>
    <t>24-out</t>
  </si>
  <si>
    <t>25-out</t>
  </si>
  <si>
    <t>26-out</t>
  </si>
  <si>
    <t>27-out</t>
  </si>
  <si>
    <t>28-out</t>
  </si>
  <si>
    <t>29-out</t>
  </si>
  <si>
    <t>30-out</t>
  </si>
  <si>
    <t>31-out</t>
  </si>
  <si>
    <t>1-nov</t>
  </si>
  <si>
    <t>2-nov</t>
  </si>
  <si>
    <t>3-nov</t>
  </si>
  <si>
    <t>4-nov</t>
  </si>
  <si>
    <t>5-nov</t>
  </si>
  <si>
    <t>6-nov</t>
  </si>
  <si>
    <t>7-nov</t>
  </si>
  <si>
    <t>8-nov</t>
  </si>
  <si>
    <t>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</si>
  <si>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</si>
  <si>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</si>
  <si>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</si>
  <si>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</si>
  <si>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</si>
  <si>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</si>
  <si>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</si>
  <si>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</si>
  <si>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</si>
  <si>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</si>
  <si>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</si>
  <si>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</si>
  <si>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</si>
  <si>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</si>
  <si>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</si>
  <si>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</si>
  <si>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</si>
  <si>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</si>
  <si>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</si>
  <si>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</si>
  <si>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</si>
  <si>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1-dez</t>
  </si>
  <si>
    <t>2-dez</t>
  </si>
  <si>
    <t>3-dez</t>
  </si>
  <si>
    <t>4-dez</t>
  </si>
  <si>
    <t>5-dez</t>
  </si>
  <si>
    <t>6-dez</t>
  </si>
  <si>
    <t>7-dez</t>
  </si>
  <si>
    <t>8-dez</t>
  </si>
  <si>
    <t>9-dez</t>
  </si>
  <si>
    <t>10-dez</t>
  </si>
  <si>
    <t>11-dez</t>
  </si>
  <si>
    <t>12-dez</t>
  </si>
  <si>
    <t>13-dez</t>
  </si>
  <si>
    <t>14-dez</t>
  </si>
  <si>
    <t>15-dez</t>
  </si>
  <si>
    <t>16-dez</t>
  </si>
  <si>
    <t>17-dez</t>
  </si>
  <si>
    <t>18-dez</t>
  </si>
  <si>
    <t>19-dez</t>
  </si>
  <si>
    <t>20-dez</t>
  </si>
  <si>
    <t>21-dez</t>
  </si>
  <si>
    <t>22-dez</t>
  </si>
  <si>
    <t>23-dez</t>
  </si>
  <si>
    <t>24-dez</t>
  </si>
  <si>
    <t>25-dez</t>
  </si>
  <si>
    <t>26-dez</t>
  </si>
  <si>
    <t>27-dez</t>
  </si>
  <si>
    <t>28-dez</t>
  </si>
  <si>
    <t>29-dez</t>
  </si>
  <si>
    <t>30-dez</t>
  </si>
  <si>
    <t>31-dez</t>
  </si>
  <si>
    <t>Dias Para Prova</t>
  </si>
  <si>
    <t>Domínio</t>
  </si>
  <si>
    <t>↕</t>
  </si>
  <si>
    <t>https://www.google.com.br/search?source=hp&amp;ei=kmP5XPbvCr7Z5OUP4cau-Aw&amp;q=</t>
  </si>
  <si>
    <t>▼</t>
  </si>
  <si>
    <t xml:space="preserve">► Simulado </t>
  </si>
  <si>
    <t>Média de Horas</t>
  </si>
  <si>
    <t xml:space="preserve"> Rev 1</t>
  </si>
  <si>
    <t xml:space="preserve"> Rev 2</t>
  </si>
  <si>
    <t xml:space="preserve"> Rev 3</t>
  </si>
  <si>
    <t xml:space="preserve">   Rev 5</t>
  </si>
  <si>
    <t>Inicío dos Estudos</t>
  </si>
  <si>
    <t xml:space="preserve">Questões </t>
  </si>
  <si>
    <t>% de Acertos</t>
  </si>
  <si>
    <t>Dias Para a Prova</t>
  </si>
  <si>
    <t>Horas Sugeridas á +</t>
  </si>
  <si>
    <t>◄ Voltar</t>
  </si>
  <si>
    <t>A</t>
  </si>
  <si>
    <t>O</t>
  </si>
  <si>
    <t>T</t>
  </si>
  <si>
    <t>Ç</t>
  </si>
  <si>
    <t>Õ</t>
  </si>
  <si>
    <t>E</t>
  </si>
  <si>
    <t>S</t>
  </si>
  <si>
    <t>V</t>
  </si>
  <si>
    <t>J</t>
  </si>
  <si>
    <t>Data de  Início</t>
  </si>
  <si>
    <t>Seu Início</t>
  </si>
  <si>
    <t>Média de Acertos por Matéria</t>
  </si>
  <si>
    <t xml:space="preserve"> Faça um Simulado</t>
  </si>
  <si>
    <t>Português</t>
  </si>
  <si>
    <t>Matemática</t>
  </si>
  <si>
    <t>História</t>
  </si>
  <si>
    <t>Física</t>
  </si>
  <si>
    <t>Quimíca</t>
  </si>
  <si>
    <t>Legislação</t>
  </si>
  <si>
    <t>Processo Penal</t>
  </si>
  <si>
    <t>Direito Administrativo</t>
  </si>
  <si>
    <t>Direito Tributário</t>
  </si>
  <si>
    <t>Inglês</t>
  </si>
  <si>
    <t>Análise de Sistemas</t>
  </si>
  <si>
    <t>Direito Legislativo</t>
  </si>
  <si>
    <t>Mecânica dos Fluídos</t>
  </si>
  <si>
    <t>IoT</t>
  </si>
  <si>
    <t>Astrologia</t>
  </si>
  <si>
    <t>Colorimetria</t>
  </si>
  <si>
    <t>Médio</t>
  </si>
  <si>
    <t>Perito Criminal</t>
  </si>
  <si>
    <t>Licenciatura</t>
  </si>
  <si>
    <t>Algebra</t>
  </si>
  <si>
    <t>Guerra Fria</t>
  </si>
  <si>
    <t xml:space="preserve">                                      Derivadas</t>
  </si>
  <si>
    <t xml:space="preserve">Tabelas </t>
  </si>
  <si>
    <t>Código Civil</t>
  </si>
  <si>
    <t>Primeira Instacia</t>
  </si>
  <si>
    <t>Administração de tempo</t>
  </si>
  <si>
    <t>Impostos</t>
  </si>
  <si>
    <t>Gramática</t>
  </si>
  <si>
    <t>Lógica de Programação</t>
  </si>
  <si>
    <t>Densidade dos Fluídos</t>
  </si>
  <si>
    <t>Web</t>
  </si>
  <si>
    <t>Espansão do universo</t>
  </si>
  <si>
    <t>Temperatura das Cores</t>
  </si>
  <si>
    <t>0:30</t>
  </si>
  <si>
    <t>0:31</t>
  </si>
  <si>
    <t>0:32</t>
  </si>
  <si>
    <t>0:33</t>
  </si>
  <si>
    <t>0:34</t>
  </si>
  <si>
    <t>0:35</t>
  </si>
  <si>
    <t>0:36</t>
  </si>
  <si>
    <t>0:37</t>
  </si>
  <si>
    <t>0:38</t>
  </si>
  <si>
    <t>0:39</t>
  </si>
  <si>
    <t>0:40</t>
  </si>
  <si>
    <t>0:41</t>
  </si>
  <si>
    <t>0:42</t>
  </si>
  <si>
    <t>0:43</t>
  </si>
  <si>
    <t>0:44</t>
  </si>
  <si>
    <t>0:45</t>
  </si>
  <si>
    <t>0:46</t>
  </si>
  <si>
    <t>0:47</t>
  </si>
  <si>
    <t>0:48</t>
  </si>
  <si>
    <t>0:49</t>
  </si>
  <si>
    <t>0:50</t>
  </si>
  <si>
    <t>0:51</t>
  </si>
  <si>
    <t>0:52</t>
  </si>
  <si>
    <t>0:53</t>
  </si>
  <si>
    <t>0:54</t>
  </si>
  <si>
    <t>0:55</t>
  </si>
  <si>
    <t>0:56</t>
  </si>
  <si>
    <t>0:57</t>
  </si>
  <si>
    <t>0:58</t>
  </si>
  <si>
    <t>0:59</t>
  </si>
  <si>
    <t>0:60</t>
  </si>
  <si>
    <t>0:61</t>
  </si>
  <si>
    <t>0:62</t>
  </si>
  <si>
    <t>0:63</t>
  </si>
  <si>
    <t>0:64</t>
  </si>
  <si>
    <t>0:65</t>
  </si>
  <si>
    <t>0:66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</si>
</sst>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[$-F400]h:mm:ss\ AM/PM"/>
    <numFmt numFmtId="165" formatCode="[h]:mm:ss;@"/>
    <numFmt numFmtId="166" formatCode="[$-416]d\-mmm\-yy;@"/>
    <numFmt numFmtId="167" formatCode="0.0"/>
    <numFmt numFmtId="168" formatCode="[$-416]d\-mmm;@"/>
    <numFmt numFmtId="169" formatCode="h:mm;@"/>
  </numFmts>
  <fonts count="6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8"/>
      <color theme="2"/>
      <name val="Arial"/>
      <family val="2"/>
    </font>
    <font>
      <b/>
      <sz val="18"/>
      <color rgb="FF9C0006"/>
      <name val="Arial"/>
      <family val="2"/>
    </font>
    <font>
      <b/>
      <sz val="12"/>
      <color theme="0"/>
      <name val="Arial"/>
      <family val="2"/>
    </font>
    <font>
      <b/>
      <sz val="18"/>
      <color theme="1"/>
      <name val="Arial"/>
      <family val="2"/>
    </font>
    <font>
      <b/>
      <sz val="14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Arial Black"/>
      <family val="2"/>
    </font>
    <font>
      <sz val="18"/>
      <color theme="1"/>
      <name val="Arial"/>
      <family val="2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name val="Arial"/>
      <family val="2"/>
    </font>
    <font>
      <b/>
      <sz val="22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2"/>
      <color theme="1"/>
      <name val="Segoe UI"/>
      <family val="2"/>
    </font>
    <font>
      <b/>
      <sz val="14"/>
      <color theme="1"/>
      <name val="Segoe UI"/>
      <family val="2"/>
    </font>
    <font>
      <u/>
      <sz val="11"/>
      <color theme="10"/>
      <name val="Calibri"/>
      <family val="2"/>
      <scheme val="minor"/>
    </font>
    <font>
      <b/>
      <sz val="22"/>
      <color rgb="FFFF0000"/>
      <name val="Segoe UI"/>
      <family val="2"/>
    </font>
    <font>
      <sz val="16"/>
      <color theme="1"/>
      <name val="Segoe UI"/>
      <family val="2"/>
    </font>
    <font>
      <b/>
      <sz val="11"/>
      <color theme="0"/>
      <name val="Segoe UI"/>
      <family val="2"/>
    </font>
    <font>
      <b/>
      <sz val="12"/>
      <color theme="0"/>
      <name val="Segoe UI"/>
      <family val="2"/>
    </font>
    <font>
      <b/>
      <sz val="11"/>
      <color theme="1"/>
      <name val="Segoe UI"/>
      <family val="2"/>
    </font>
    <font>
      <b/>
      <sz val="10"/>
      <color theme="1"/>
      <name val="Segoe UI"/>
      <family val="2"/>
    </font>
    <font>
      <b/>
      <sz val="14"/>
      <color theme="0"/>
      <name val="Segoe UI"/>
      <family val="2"/>
    </font>
    <font>
      <b/>
      <sz val="12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0"/>
      <name val="Arial"/>
      <family val="2"/>
    </font>
    <font>
      <b/>
      <sz val="10"/>
      <color theme="0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8"/>
      <color theme="0"/>
      <name val="Segoe UI"/>
      <family val="2"/>
    </font>
    <font>
      <sz val="16"/>
      <color rgb="FF00B050"/>
      <name val="Calibri"/>
      <family val="2"/>
      <scheme val="minor"/>
    </font>
    <font>
      <b/>
      <sz val="22"/>
      <color rgb="FF00B050"/>
      <name val="Calibri"/>
      <family val="2"/>
      <scheme val="minor"/>
    </font>
    <font>
      <sz val="14"/>
      <color theme="5"/>
      <name val="Calibri"/>
      <family val="2"/>
      <scheme val="minor"/>
    </font>
    <font>
      <b/>
      <sz val="20"/>
      <color theme="4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8"/>
      <color theme="5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theme="5"/>
      <name val="Calibri"/>
      <family val="2"/>
      <scheme val="minor"/>
    </font>
    <font>
      <b/>
      <sz val="16"/>
      <color rgb="FF00B050"/>
      <name val="Calibri"/>
      <family val="2"/>
      <scheme val="minor"/>
    </font>
    <font>
      <b/>
      <sz val="16"/>
      <color theme="0"/>
      <name val="Segoe UI"/>
      <family val="2"/>
    </font>
    <font>
      <b/>
      <sz val="16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color rgb="FFFF0000"/>
      <name val="Calibri"/>
      <family val="2"/>
      <scheme val="minor"/>
    </font>
    <font>
      <b/>
      <sz val="16"/>
      <color rgb="FF00B050"/>
      <name val="Arial"/>
      <family val="2"/>
    </font>
    <font>
      <b/>
      <sz val="26"/>
      <color theme="1"/>
      <name val="Arial Narrow"/>
      <family val="2"/>
    </font>
    <font>
      <b/>
      <sz val="22"/>
      <color rgb="FFFF0000"/>
      <name val="Arial Narrow"/>
      <family val="2"/>
    </font>
    <font>
      <sz val="14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8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</patternFill>
    </fill>
    <fill>
      <patternFill patternType="solid">
        <fgColor theme="6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  <fill>
      <gradientFill type="path" left="1" right="1">
        <stop position="0">
          <color theme="0"/>
        </stop>
        <stop position="1">
          <color rgb="FFFF0000"/>
        </stop>
      </gradient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47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/>
      <bottom style="thin">
        <color theme="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/>
      <diagonal/>
    </border>
    <border>
      <left style="medium">
        <color theme="2" tint="-0.249977111117893"/>
      </left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/>
      <right/>
      <top style="medium">
        <color theme="2" tint="-0.249977111117893"/>
      </top>
      <bottom/>
      <diagonal/>
    </border>
    <border>
      <left style="double">
        <color rgb="FF3F3F3F"/>
      </left>
      <right/>
      <top style="double">
        <color rgb="FF3F3F3F"/>
      </top>
      <bottom style="medium">
        <color theme="2" tint="-0.249977111117893"/>
      </bottom>
      <diagonal/>
    </border>
    <border>
      <left/>
      <right/>
      <top style="double">
        <color rgb="FF3F3F3F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double">
        <color rgb="FF3F3F3F"/>
      </left>
      <right/>
      <top style="medium">
        <color theme="2" tint="-0.249977111117893"/>
      </top>
      <bottom style="double">
        <color rgb="FF3F3F3F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medium">
        <color theme="2" tint="-0.24994659260841701"/>
      </bottom>
      <diagonal/>
    </border>
    <border>
      <left/>
      <right/>
      <top style="medium">
        <color theme="2" tint="-0.24994659260841701"/>
      </top>
      <bottom style="medium">
        <color theme="2" tint="-0.24994659260841701"/>
      </bottom>
      <diagonal/>
    </border>
    <border>
      <left style="thin">
        <color theme="2" tint="-9.9978637043366805E-2"/>
      </left>
      <right/>
      <top/>
      <bottom style="thin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2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medium">
        <color theme="0" tint="-0.14996795556505021"/>
      </bottom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  <border>
      <left/>
      <right style="medium">
        <color theme="0" tint="-0.14993743705557422"/>
      </right>
      <top/>
      <bottom style="medium">
        <color theme="0" tint="-0.14993743705557422"/>
      </bottom>
      <diagonal/>
    </border>
    <border>
      <left style="thick">
        <color theme="2" tint="-0.24994659260841701"/>
      </left>
      <right style="thick">
        <color theme="2" tint="-0.24994659260841701"/>
      </right>
      <top style="thick">
        <color theme="2" tint="-0.24994659260841701"/>
      </top>
      <bottom style="thick">
        <color theme="2" tint="-0.24994659260841701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2" tint="-9.9948118533890809E-2"/>
      </bottom>
      <diagonal/>
    </border>
    <border>
      <left/>
      <right/>
      <top style="medium">
        <color theme="2" tint="-9.9948118533890809E-2"/>
      </top>
      <bottom style="medium">
        <color theme="2" tint="-9.9948118533890809E-2"/>
      </bottom>
      <diagonal/>
    </border>
    <border>
      <left style="thin">
        <color theme="2" tint="-9.9978637043366805E-2"/>
      </left>
      <right/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/>
      <bottom style="medium">
        <color theme="2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/>
      <top/>
      <bottom style="medium">
        <color auto="1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2">
    <xf numFmtId="0" fontId="0" fillId="0" borderId="0"/>
    <xf numFmtId="0" fontId="2" fillId="2" borderId="1" applyNumberFormat="0" applyAlignment="0" applyProtection="0"/>
    <xf numFmtId="0" fontId="4" fillId="0" borderId="0" applyFill="0" applyBorder="0">
      <alignment horizontal="center" vertical="center" readingOrder="1"/>
    </xf>
    <xf numFmtId="0" fontId="11" fillId="3" borderId="2" applyNumberFormat="0">
      <alignment horizontal="center" vertical="center" readingOrder="1"/>
    </xf>
    <xf numFmtId="0" fontId="15" fillId="4" borderId="3" applyNumberFormat="0" applyAlignment="0"/>
    <xf numFmtId="14" fontId="7" fillId="5" borderId="3" applyAlignment="0">
      <alignment horizontal="center" vertical="center"/>
    </xf>
    <xf numFmtId="0" fontId="8" fillId="6" borderId="5" applyNumberFormat="0">
      <alignment horizontal="center" vertical="center"/>
    </xf>
    <xf numFmtId="0" fontId="10" fillId="7" borderId="2" applyNumberFormat="0">
      <alignment horizontal="center" vertical="center"/>
    </xf>
    <xf numFmtId="0" fontId="13" fillId="8" borderId="5" applyNumberFormat="0">
      <alignment horizontal="center" vertical="center" wrapText="1"/>
    </xf>
    <xf numFmtId="44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16" borderId="2" applyNumberFormat="0" applyFont="0" applyAlignment="0" applyProtection="0"/>
    <xf numFmtId="0" fontId="3" fillId="4" borderId="0" applyNumberFormat="0" applyBorder="0" applyAlignment="0" applyProtection="0"/>
    <xf numFmtId="0" fontId="21" fillId="17" borderId="0" applyNumberFormat="0" applyBorder="0" applyAlignment="0" applyProtection="0"/>
    <xf numFmtId="0" fontId="21" fillId="18" borderId="2" applyNumberFormat="0" applyAlignment="0" applyProtection="0"/>
    <xf numFmtId="0" fontId="25" fillId="0" borderId="0" applyNumberFormat="0" applyFill="0" applyBorder="0" applyAlignment="0" applyProtection="0"/>
    <xf numFmtId="0" fontId="3" fillId="21" borderId="21" applyNumberFormat="0" applyAlignment="0" applyProtection="0"/>
    <xf numFmtId="0" fontId="3" fillId="22" borderId="22" applyNumberFormat="0" applyAlignment="0" applyProtection="0"/>
    <xf numFmtId="0" fontId="21" fillId="23" borderId="0" applyNumberFormat="0" applyBorder="0" applyAlignment="0" applyProtection="0"/>
    <xf numFmtId="14" fontId="35" fillId="30" borderId="25" applyFont="0" applyBorder="0">
      <alignment horizontal="center" vertical="center"/>
    </xf>
    <xf numFmtId="0" fontId="21" fillId="35" borderId="0" applyNumberFormat="0" applyBorder="0" applyAlignment="0" applyProtection="0"/>
    <xf numFmtId="0" fontId="21" fillId="38" borderId="0" applyNumberFormat="0" applyBorder="0" applyAlignment="0" applyProtection="0"/>
  </cellStyleXfs>
  <cellXfs count="253">
    <xf numFmtId="0" fontId="0" fillId="0" borderId="0" xfId="0"/>
    <xf numFmtId="0" fontId="18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2" fillId="7" borderId="2" xfId="7" applyFont="1" applyAlignment="1">
      <alignment horizontal="center" vertical="center" wrapText="1"/>
    </xf>
    <xf numFmtId="0" fontId="13" fillId="0" borderId="11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9" fillId="2" borderId="6" xfId="1" applyFont="1" applyBorder="1" applyAlignment="1">
      <alignment horizontal="center" vertical="center"/>
    </xf>
    <xf numFmtId="0" fontId="9" fillId="2" borderId="10" xfId="1" applyFont="1" applyBorder="1" applyAlignment="1">
      <alignment horizontal="center" vertical="center"/>
    </xf>
    <xf numFmtId="0" fontId="9" fillId="2" borderId="13" xfId="1" applyFont="1" applyBorder="1" applyAlignment="1">
      <alignment horizontal="center" vertical="center"/>
    </xf>
    <xf numFmtId="0" fontId="19" fillId="6" borderId="0" xfId="0" applyFont="1" applyFill="1" applyAlignment="1">
      <alignment horizontal="centerContinuous" vertical="center"/>
    </xf>
    <xf numFmtId="0" fontId="28" fillId="4" borderId="19" xfId="12" applyFont="1" applyBorder="1" applyAlignment="1">
      <alignment horizontal="center" vertical="center"/>
    </xf>
    <xf numFmtId="0" fontId="28" fillId="4" borderId="19" xfId="12" applyFont="1" applyBorder="1" applyAlignment="1">
      <alignment horizontal="center" vertical="center" wrapText="1"/>
    </xf>
    <xf numFmtId="164" fontId="23" fillId="4" borderId="3" xfId="4" applyNumberFormat="1" applyFont="1" applyAlignment="1">
      <alignment horizontal="center" vertical="center" wrapText="1"/>
    </xf>
    <xf numFmtId="164" fontId="23" fillId="4" borderId="3" xfId="4" applyNumberFormat="1" applyFont="1" applyAlignment="1">
      <alignment horizontal="center" vertical="center"/>
    </xf>
    <xf numFmtId="167" fontId="27" fillId="19" borderId="16" xfId="10" applyNumberFormat="1" applyFont="1" applyFill="1" applyBorder="1" applyAlignment="1">
      <alignment horizontal="center" vertical="center"/>
    </xf>
    <xf numFmtId="0" fontId="31" fillId="23" borderId="0" xfId="18" applyFont="1" applyAlignment="1">
      <alignment horizontal="center" vertical="center" wrapText="1"/>
    </xf>
    <xf numFmtId="0" fontId="33" fillId="0" borderId="16" xfId="0" applyFont="1" applyBorder="1" applyAlignment="1">
      <alignment horizontal="center" vertical="center"/>
    </xf>
    <xf numFmtId="0" fontId="33" fillId="0" borderId="1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26" borderId="0" xfId="16" applyFont="1" applyFill="1" applyBorder="1" applyAlignment="1">
      <alignment horizontal="center" vertical="center"/>
    </xf>
    <xf numFmtId="168" fontId="32" fillId="21" borderId="0" xfId="16" applyNumberFormat="1" applyFont="1" applyBorder="1" applyAlignment="1">
      <alignment horizontal="center" vertical="center"/>
    </xf>
    <xf numFmtId="168" fontId="29" fillId="21" borderId="0" xfId="16" applyNumberFormat="1" applyFont="1" applyBorder="1" applyAlignment="1">
      <alignment horizontal="center" vertical="center"/>
    </xf>
    <xf numFmtId="9" fontId="17" fillId="0" borderId="23" xfId="0" applyNumberFormat="1" applyFont="1" applyBorder="1" applyAlignment="1">
      <alignment horizontal="center" vertical="center"/>
    </xf>
    <xf numFmtId="0" fontId="17" fillId="0" borderId="23" xfId="0" applyFont="1" applyBorder="1" applyAlignment="1">
      <alignment horizontal="center" vertical="center"/>
    </xf>
    <xf numFmtId="9" fontId="17" fillId="0" borderId="24" xfId="0" applyNumberFormat="1" applyFont="1" applyBorder="1" applyAlignment="1">
      <alignment horizontal="center" vertical="center"/>
    </xf>
    <xf numFmtId="0" fontId="32" fillId="24" borderId="0" xfId="16" applyFont="1" applyFill="1" applyBorder="1" applyAlignment="1">
      <alignment horizontal="center" vertical="center" wrapText="1"/>
    </xf>
    <xf numFmtId="0" fontId="38" fillId="22" borderId="22" xfId="17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Continuous" vertical="center"/>
    </xf>
    <xf numFmtId="10" fontId="3" fillId="24" borderId="0" xfId="16" applyNumberFormat="1" applyFill="1" applyBorder="1" applyAlignment="1">
      <alignment vertical="center"/>
    </xf>
    <xf numFmtId="0" fontId="0" fillId="24" borderId="0" xfId="0" applyFill="1" applyAlignment="1">
      <alignment vertical="center"/>
    </xf>
    <xf numFmtId="0" fontId="18" fillId="0" borderId="0" xfId="0" applyFont="1" applyAlignment="1">
      <alignment vertical="center"/>
    </xf>
    <xf numFmtId="165" fontId="18" fillId="0" borderId="0" xfId="0" applyNumberFormat="1" applyFont="1" applyAlignment="1">
      <alignment vertical="center"/>
    </xf>
    <xf numFmtId="0" fontId="17" fillId="0" borderId="0" xfId="0" applyFont="1" applyAlignment="1">
      <alignment vertical="center"/>
    </xf>
    <xf numFmtId="0" fontId="0" fillId="0" borderId="4" xfId="0" applyBorder="1" applyAlignment="1">
      <alignment vertical="center"/>
    </xf>
    <xf numFmtId="0" fontId="13" fillId="7" borderId="2" xfId="7" applyFont="1">
      <alignment horizontal="center" vertical="center"/>
    </xf>
    <xf numFmtId="0" fontId="23" fillId="7" borderId="7" xfId="7" applyFont="1" applyBorder="1">
      <alignment horizontal="center" vertical="center"/>
    </xf>
    <xf numFmtId="0" fontId="0" fillId="0" borderId="9" xfId="0" applyBorder="1" applyAlignment="1">
      <alignment vertical="center"/>
    </xf>
    <xf numFmtId="0" fontId="0" fillId="5" borderId="0" xfId="0" applyFill="1" applyAlignment="1">
      <alignment vertical="center"/>
    </xf>
    <xf numFmtId="0" fontId="34" fillId="5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left" vertical="center"/>
    </xf>
    <xf numFmtId="0" fontId="0" fillId="5" borderId="0" xfId="0" applyFill="1"/>
    <xf numFmtId="49" fontId="11" fillId="0" borderId="8" xfId="0" applyNumberFormat="1" applyFont="1" applyBorder="1" applyAlignment="1" applyProtection="1">
      <alignment horizontal="center" vertical="center"/>
      <protection locked="0"/>
    </xf>
    <xf numFmtId="0" fontId="0" fillId="5" borderId="0" xfId="0" applyFill="1" applyAlignment="1">
      <alignment horizontal="center" vertical="center"/>
    </xf>
    <xf numFmtId="165" fontId="18" fillId="0" borderId="0" xfId="0" applyNumberFormat="1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vertical="center"/>
    </xf>
    <xf numFmtId="0" fontId="28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0" fontId="3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2" fillId="0" borderId="19" xfId="0" applyFont="1" applyBorder="1" applyAlignment="1">
      <alignment horizontal="center" vertical="center"/>
    </xf>
    <xf numFmtId="0" fontId="41" fillId="31" borderId="18" xfId="0" applyFont="1" applyFill="1" applyBorder="1" applyAlignment="1">
      <alignment horizontal="center" vertical="center"/>
    </xf>
    <xf numFmtId="0" fontId="41" fillId="31" borderId="30" xfId="0" applyFont="1" applyFill="1" applyBorder="1" applyAlignment="1">
      <alignment horizontal="center" vertical="center"/>
    </xf>
    <xf numFmtId="0" fontId="29" fillId="4" borderId="19" xfId="12" applyFont="1" applyBorder="1" applyAlignment="1">
      <alignment vertical="center"/>
    </xf>
    <xf numFmtId="0" fontId="45" fillId="4" borderId="19" xfId="12" applyFont="1" applyBorder="1" applyAlignment="1">
      <alignment horizontal="center" vertical="center"/>
    </xf>
    <xf numFmtId="49" fontId="32" fillId="24" borderId="0" xfId="16" applyNumberFormat="1" applyFont="1" applyFill="1" applyBorder="1" applyAlignment="1">
      <alignment horizontal="center" vertical="center"/>
    </xf>
    <xf numFmtId="0" fontId="25" fillId="0" borderId="0" xfId="15"/>
    <xf numFmtId="0" fontId="46" fillId="33" borderId="16" xfId="18" applyFont="1" applyFill="1" applyBorder="1" applyAlignment="1">
      <alignment horizontal="center" vertical="center"/>
    </xf>
    <xf numFmtId="0" fontId="0" fillId="7" borderId="0" xfId="0" applyFill="1" applyAlignment="1">
      <alignment vertical="center"/>
    </xf>
    <xf numFmtId="0" fontId="34" fillId="7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7" borderId="0" xfId="0" applyFill="1"/>
    <xf numFmtId="0" fontId="0" fillId="7" borderId="0" xfId="0" applyFill="1" applyAlignment="1">
      <alignment horizontal="center" vertical="center"/>
    </xf>
    <xf numFmtId="49" fontId="28" fillId="34" borderId="0" xfId="16" applyNumberFormat="1" applyFont="1" applyFill="1" applyBorder="1" applyAlignment="1">
      <alignment horizontal="center" vertical="top"/>
    </xf>
    <xf numFmtId="0" fontId="47" fillId="0" borderId="32" xfId="15" applyFont="1" applyFill="1" applyBorder="1" applyAlignment="1">
      <alignment horizontal="center" vertical="center"/>
    </xf>
    <xf numFmtId="0" fontId="31" fillId="36" borderId="0" xfId="0" applyFont="1" applyFill="1" applyAlignment="1">
      <alignment horizontal="center" vertical="center"/>
    </xf>
    <xf numFmtId="0" fontId="23" fillId="36" borderId="0" xfId="0" applyFont="1" applyFill="1" applyAlignment="1">
      <alignment horizontal="center" vertical="center" wrapText="1"/>
    </xf>
    <xf numFmtId="0" fontId="28" fillId="29" borderId="0" xfId="0" applyFont="1" applyFill="1" applyAlignment="1">
      <alignment horizontal="center" vertical="center"/>
    </xf>
    <xf numFmtId="0" fontId="0" fillId="29" borderId="0" xfId="0" applyFill="1"/>
    <xf numFmtId="0" fontId="17" fillId="29" borderId="0" xfId="0" applyFont="1" applyFill="1" applyAlignment="1">
      <alignment vertical="center"/>
    </xf>
    <xf numFmtId="14" fontId="17" fillId="17" borderId="19" xfId="13" applyNumberFormat="1" applyFont="1" applyBorder="1" applyAlignment="1">
      <alignment horizontal="center" vertical="center"/>
    </xf>
    <xf numFmtId="0" fontId="36" fillId="17" borderId="19" xfId="13" applyFont="1" applyBorder="1" applyAlignment="1">
      <alignment horizontal="center" vertical="center"/>
    </xf>
    <xf numFmtId="0" fontId="21" fillId="17" borderId="19" xfId="13" applyBorder="1" applyAlignment="1">
      <alignment horizontal="center" vertical="center"/>
    </xf>
    <xf numFmtId="0" fontId="0" fillId="39" borderId="0" xfId="0" applyFill="1"/>
    <xf numFmtId="0" fontId="0" fillId="0" borderId="19" xfId="0" applyBorder="1"/>
    <xf numFmtId="0" fontId="42" fillId="21" borderId="19" xfId="16" applyFont="1" applyBorder="1" applyAlignment="1">
      <alignment horizontal="left" vertical="center" wrapText="1"/>
    </xf>
    <xf numFmtId="14" fontId="34" fillId="36" borderId="19" xfId="13" applyNumberFormat="1" applyFont="1" applyFill="1" applyBorder="1" applyAlignment="1">
      <alignment horizontal="center" vertical="center" wrapText="1"/>
    </xf>
    <xf numFmtId="0" fontId="53" fillId="17" borderId="19" xfId="13" applyFont="1" applyBorder="1" applyAlignment="1">
      <alignment horizontal="center" vertical="center" wrapText="1"/>
    </xf>
    <xf numFmtId="0" fontId="2" fillId="21" borderId="19" xfId="16" applyFont="1" applyBorder="1" applyAlignment="1">
      <alignment horizontal="center" vertical="center" wrapText="1"/>
    </xf>
    <xf numFmtId="1" fontId="1" fillId="36" borderId="19" xfId="0" applyNumberFormat="1" applyFont="1" applyFill="1" applyBorder="1" applyAlignment="1">
      <alignment horizontal="center" vertical="center"/>
    </xf>
    <xf numFmtId="0" fontId="31" fillId="0" borderId="19" xfId="0" applyFont="1" applyBorder="1"/>
    <xf numFmtId="0" fontId="42" fillId="0" borderId="19" xfId="16" applyFont="1" applyFill="1" applyBorder="1" applyAlignment="1">
      <alignment horizontal="center" vertical="center"/>
    </xf>
    <xf numFmtId="0" fontId="34" fillId="36" borderId="19" xfId="13" applyFont="1" applyFill="1" applyBorder="1" applyAlignment="1">
      <alignment horizontal="center" vertical="center" wrapText="1"/>
    </xf>
    <xf numFmtId="0" fontId="37" fillId="29" borderId="19" xfId="0" applyFont="1" applyFill="1" applyBorder="1" applyAlignment="1">
      <alignment horizontal="center" vertical="center"/>
    </xf>
    <xf numFmtId="0" fontId="3" fillId="4" borderId="19" xfId="12" applyBorder="1" applyAlignment="1">
      <alignment horizontal="center" vertical="center"/>
    </xf>
    <xf numFmtId="14" fontId="21" fillId="17" borderId="0" xfId="13" applyNumberFormat="1" applyAlignment="1">
      <alignment horizontal="center" vertical="center"/>
    </xf>
    <xf numFmtId="0" fontId="21" fillId="17" borderId="0" xfId="13" applyAlignment="1">
      <alignment horizontal="center" vertical="center"/>
    </xf>
    <xf numFmtId="0" fontId="54" fillId="39" borderId="0" xfId="15" applyFont="1" applyFill="1" applyAlignment="1">
      <alignment horizontal="center" vertical="center"/>
    </xf>
    <xf numFmtId="0" fontId="49" fillId="39" borderId="0" xfId="15" applyFont="1" applyFill="1" applyAlignment="1">
      <alignment vertical="center"/>
    </xf>
    <xf numFmtId="0" fontId="49" fillId="39" borderId="0" xfId="15" applyFont="1" applyFill="1" applyAlignment="1">
      <alignment horizontal="right" vertical="center"/>
    </xf>
    <xf numFmtId="0" fontId="50" fillId="39" borderId="0" xfId="15" applyFont="1" applyFill="1" applyAlignment="1">
      <alignment vertical="center"/>
    </xf>
    <xf numFmtId="0" fontId="55" fillId="37" borderId="28" xfId="15" applyFont="1" applyFill="1" applyBorder="1" applyAlignment="1">
      <alignment horizontal="center" vertical="center"/>
    </xf>
    <xf numFmtId="0" fontId="55" fillId="37" borderId="29" xfId="15" applyFont="1" applyFill="1" applyBorder="1" applyAlignment="1">
      <alignment horizontal="center" vertical="center"/>
    </xf>
    <xf numFmtId="0" fontId="58" fillId="39" borderId="0" xfId="15" applyFont="1" applyFill="1" applyAlignment="1">
      <alignment horizontal="center" vertical="center"/>
    </xf>
    <xf numFmtId="0" fontId="59" fillId="39" borderId="0" xfId="15" applyFont="1" applyFill="1" applyAlignment="1">
      <alignment horizontal="center" vertical="center"/>
    </xf>
    <xf numFmtId="165" fontId="60" fillId="0" borderId="16" xfId="0" applyNumberFormat="1" applyFont="1" applyBorder="1" applyAlignment="1">
      <alignment horizontal="center" vertical="center"/>
    </xf>
    <xf numFmtId="2" fontId="61" fillId="0" borderId="0" xfId="0" applyNumberFormat="1" applyFont="1" applyAlignment="1">
      <alignment vertical="center"/>
    </xf>
    <xf numFmtId="0" fontId="0" fillId="19" borderId="0" xfId="0" applyFill="1" applyAlignment="1">
      <alignment vertical="center"/>
    </xf>
    <xf numFmtId="0" fontId="6" fillId="19" borderId="0" xfId="0" applyFont="1" applyFill="1" applyAlignment="1">
      <alignment horizontal="center" vertical="center"/>
    </xf>
    <xf numFmtId="2" fontId="62" fillId="19" borderId="0" xfId="0" applyNumberFormat="1" applyFont="1" applyFill="1" applyAlignment="1">
      <alignment horizontal="center" vertical="center"/>
    </xf>
    <xf numFmtId="0" fontId="1" fillId="26" borderId="0" xfId="0" applyFont="1" applyFill="1"/>
    <xf numFmtId="0" fontId="63" fillId="26" borderId="0" xfId="0" applyFont="1" applyFill="1"/>
    <xf numFmtId="0" fontId="1" fillId="42" borderId="0" xfId="0" applyFont="1" applyFill="1"/>
    <xf numFmtId="0" fontId="39" fillId="42" borderId="0" xfId="0" applyFont="1" applyFill="1" applyAlignment="1">
      <alignment horizontal="center" vertical="center"/>
    </xf>
    <xf numFmtId="0" fontId="0" fillId="42" borderId="0" xfId="0" applyFill="1"/>
    <xf numFmtId="0" fontId="1" fillId="42" borderId="28" xfId="0" applyFont="1" applyFill="1" applyBorder="1"/>
    <xf numFmtId="0" fontId="39" fillId="42" borderId="28" xfId="0" applyFont="1" applyFill="1" applyBorder="1" applyAlignment="1">
      <alignment horizontal="center" vertical="center"/>
    </xf>
    <xf numFmtId="0" fontId="0" fillId="42" borderId="28" xfId="0" applyFill="1" applyBorder="1"/>
    <xf numFmtId="0" fontId="0" fillId="26" borderId="40" xfId="0" applyFill="1" applyBorder="1"/>
    <xf numFmtId="14" fontId="39" fillId="0" borderId="0" xfId="0" applyNumberFormat="1" applyFont="1" applyAlignment="1">
      <alignment horizontal="center" vertical="center"/>
    </xf>
    <xf numFmtId="0" fontId="1" fillId="0" borderId="0" xfId="0" applyFont="1"/>
    <xf numFmtId="0" fontId="0" fillId="31" borderId="0" xfId="0" applyFill="1"/>
    <xf numFmtId="0" fontId="12" fillId="19" borderId="0" xfId="0" applyFont="1" applyFill="1" applyAlignment="1">
      <alignment horizontal="center" vertical="center"/>
    </xf>
    <xf numFmtId="0" fontId="12" fillId="19" borderId="0" xfId="0" applyFont="1" applyFill="1" applyAlignment="1">
      <alignment horizontal="centerContinuous" vertical="center"/>
    </xf>
    <xf numFmtId="0" fontId="11" fillId="19" borderId="0" xfId="0" applyFont="1" applyFill="1" applyAlignment="1">
      <alignment horizontal="centerContinuous" vertical="center"/>
    </xf>
    <xf numFmtId="14" fontId="21" fillId="19" borderId="0" xfId="13" applyNumberFormat="1" applyFill="1" applyBorder="1" applyAlignment="1">
      <alignment horizontal="center" vertical="center"/>
    </xf>
    <xf numFmtId="0" fontId="13" fillId="19" borderId="0" xfId="0" applyFont="1" applyFill="1" applyAlignment="1">
      <alignment horizontal="center" vertical="center"/>
    </xf>
    <xf numFmtId="44" fontId="21" fillId="19" borderId="0" xfId="9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26" fillId="19" borderId="0" xfId="15" applyFont="1" applyFill="1" applyAlignment="1">
      <alignment vertical="center"/>
    </xf>
    <xf numFmtId="0" fontId="28" fillId="4" borderId="19" xfId="4" applyFont="1" applyBorder="1" applyAlignment="1">
      <alignment horizontal="left" vertical="center"/>
    </xf>
    <xf numFmtId="0" fontId="42" fillId="4" borderId="19" xfId="4" applyFont="1" applyBorder="1" applyAlignment="1">
      <alignment horizontal="left" vertical="center"/>
    </xf>
    <xf numFmtId="0" fontId="28" fillId="4" borderId="19" xfId="4" applyFont="1" applyBorder="1" applyAlignment="1">
      <alignment horizontal="center" vertical="center"/>
    </xf>
    <xf numFmtId="166" fontId="24" fillId="17" borderId="19" xfId="13" applyNumberFormat="1" applyFont="1" applyBorder="1" applyAlignment="1">
      <alignment horizontal="center" vertical="center"/>
    </xf>
    <xf numFmtId="0" fontId="5" fillId="19" borderId="0" xfId="0" applyFont="1" applyFill="1" applyAlignment="1">
      <alignment vertical="center"/>
    </xf>
    <xf numFmtId="0" fontId="0" fillId="19" borderId="0" xfId="0" applyFill="1"/>
    <xf numFmtId="14" fontId="17" fillId="17" borderId="19" xfId="13" applyNumberFormat="1" applyFont="1" applyBorder="1" applyAlignment="1" applyProtection="1">
      <alignment horizontal="center" vertical="center"/>
      <protection locked="0"/>
    </xf>
    <xf numFmtId="0" fontId="35" fillId="17" borderId="19" xfId="13" applyFont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/>
      <protection locked="0"/>
    </xf>
    <xf numFmtId="0" fontId="13" fillId="0" borderId="19" xfId="0" applyFont="1" applyBorder="1" applyAlignment="1" applyProtection="1">
      <alignment horizontal="center" vertical="center"/>
      <protection locked="0"/>
    </xf>
    <xf numFmtId="0" fontId="0" fillId="19" borderId="0" xfId="0" applyFill="1" applyProtection="1">
      <protection locked="0"/>
    </xf>
    <xf numFmtId="49" fontId="22" fillId="0" borderId="20" xfId="0" applyNumberFormat="1" applyFont="1" applyBorder="1" applyAlignment="1" applyProtection="1">
      <alignment horizontal="center" vertical="center" wrapText="1"/>
      <protection locked="0"/>
    </xf>
    <xf numFmtId="169" fontId="12" fillId="0" borderId="20" xfId="0" applyNumberFormat="1" applyFont="1" applyBorder="1" applyAlignment="1" applyProtection="1">
      <alignment horizontal="center" vertical="center"/>
      <protection locked="0"/>
    </xf>
    <xf numFmtId="0" fontId="11" fillId="0" borderId="20" xfId="0" applyFont="1" applyBorder="1" applyAlignment="1" applyProtection="1">
      <alignment horizontal="center" vertical="center"/>
      <protection locked="0"/>
    </xf>
    <xf numFmtId="0" fontId="11" fillId="0" borderId="16" xfId="0" applyFont="1" applyBorder="1" applyAlignment="1" applyProtection="1">
      <alignment horizontal="center" vertical="center"/>
      <protection locked="0"/>
    </xf>
    <xf numFmtId="0" fontId="11" fillId="0" borderId="17" xfId="0" applyFont="1" applyBorder="1" applyAlignment="1" applyProtection="1">
      <alignment horizontal="center" vertical="center"/>
      <protection locked="0"/>
    </xf>
    <xf numFmtId="0" fontId="14" fillId="0" borderId="20" xfId="0" applyFont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Continuous" vertical="center"/>
      <protection locked="0"/>
    </xf>
    <xf numFmtId="0" fontId="48" fillId="19" borderId="0" xfId="15" applyFont="1" applyFill="1" applyAlignment="1" applyProtection="1">
      <alignment horizontal="center" vertical="center"/>
      <protection locked="0"/>
    </xf>
    <xf numFmtId="0" fontId="0" fillId="0" borderId="28" xfId="0" applyBorder="1" applyAlignment="1" applyProtection="1">
      <alignment horizontal="center" vertical="center"/>
      <protection locked="0"/>
    </xf>
    <xf numFmtId="0" fontId="0" fillId="0" borderId="29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14" fontId="31" fillId="0" borderId="23" xfId="0" applyNumberFormat="1" applyFont="1" applyBorder="1" applyAlignment="1" applyProtection="1">
      <alignment horizontal="center" vertical="center"/>
      <protection locked="0"/>
    </xf>
    <xf numFmtId="0" fontId="30" fillId="0" borderId="23" xfId="0" applyFont="1" applyBorder="1" applyAlignment="1" applyProtection="1">
      <alignment horizontal="center" vertical="center"/>
      <protection locked="0"/>
    </xf>
    <xf numFmtId="14" fontId="31" fillId="0" borderId="24" xfId="0" applyNumberFormat="1" applyFont="1" applyBorder="1" applyAlignment="1" applyProtection="1">
      <alignment horizontal="center" vertical="center"/>
      <protection locked="0"/>
    </xf>
    <xf numFmtId="0" fontId="30" fillId="0" borderId="24" xfId="0" applyFont="1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14" fontId="23" fillId="37" borderId="21" xfId="20" applyNumberFormat="1" applyFont="1" applyFill="1" applyBorder="1" applyAlignment="1" applyProtection="1">
      <alignment horizontal="center" vertical="center"/>
      <protection locked="0"/>
    </xf>
    <xf numFmtId="14" fontId="23" fillId="37" borderId="45" xfId="20" applyNumberFormat="1" applyFont="1" applyFill="1" applyBorder="1" applyAlignment="1" applyProtection="1">
      <alignment horizontal="center" vertical="center"/>
      <protection locked="0"/>
    </xf>
    <xf numFmtId="14" fontId="23" fillId="37" borderId="44" xfId="20" applyNumberFormat="1" applyFont="1" applyFill="1" applyBorder="1" applyAlignment="1" applyProtection="1">
      <alignment horizontal="center" vertical="center"/>
      <protection locked="0"/>
    </xf>
    <xf numFmtId="0" fontId="0" fillId="37" borderId="19" xfId="0" applyFill="1" applyBorder="1" applyProtection="1">
      <protection locked="0"/>
    </xf>
    <xf numFmtId="14" fontId="23" fillId="37" borderId="46" xfId="20" applyNumberFormat="1" applyFont="1" applyFill="1" applyBorder="1" applyAlignment="1" applyProtection="1">
      <alignment horizontal="center" vertical="center"/>
      <protection locked="0"/>
    </xf>
    <xf numFmtId="20" fontId="30" fillId="0" borderId="16" xfId="0" applyNumberFormat="1" applyFont="1" applyBorder="1" applyAlignment="1" applyProtection="1">
      <alignment horizontal="center" vertical="center"/>
      <protection locked="0"/>
    </xf>
    <xf numFmtId="20" fontId="30" fillId="0" borderId="0" xfId="0" applyNumberFormat="1" applyFont="1" applyAlignment="1" applyProtection="1">
      <alignment horizontal="center" vertical="center"/>
      <protection locked="0"/>
    </xf>
    <xf numFmtId="20" fontId="30" fillId="0" borderId="26" xfId="0" applyNumberFormat="1" applyFont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25" fillId="0" borderId="0" xfId="15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10" fontId="0" fillId="0" borderId="0" xfId="0" applyNumberFormat="1" applyProtection="1"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39" borderId="0" xfId="0" applyFill="1" applyAlignment="1" applyProtection="1">
      <alignment horizontal="center"/>
      <protection locked="0"/>
    </xf>
    <xf numFmtId="0" fontId="0" fillId="33" borderId="36" xfId="0" applyFill="1" applyBorder="1" applyAlignment="1" applyProtection="1">
      <alignment horizontal="center"/>
      <protection locked="0"/>
    </xf>
    <xf numFmtId="0" fontId="0" fillId="33" borderId="0" xfId="0" applyFill="1" applyAlignment="1" applyProtection="1">
      <alignment horizontal="center"/>
      <protection locked="0"/>
    </xf>
    <xf numFmtId="0" fontId="49" fillId="19" borderId="0" xfId="15" applyFont="1" applyFill="1" applyAlignment="1" applyProtection="1">
      <alignment horizontal="center" vertical="center"/>
      <protection locked="0"/>
    </xf>
    <xf numFmtId="0" fontId="50" fillId="19" borderId="0" xfId="15" applyFont="1" applyFill="1" applyAlignment="1" applyProtection="1">
      <alignment horizontal="center" vertical="center"/>
      <protection locked="0"/>
    </xf>
    <xf numFmtId="0" fontId="0" fillId="19" borderId="0" xfId="0" applyFill="1" applyAlignment="1">
      <alignment horizontal="center" vertical="center"/>
    </xf>
    <xf numFmtId="0" fontId="28" fillId="4" borderId="37" xfId="4" applyFont="1" applyBorder="1" applyAlignment="1">
      <alignment horizontal="center" vertical="center" wrapText="1"/>
    </xf>
    <xf numFmtId="0" fontId="28" fillId="4" borderId="38" xfId="4" applyFont="1" applyBorder="1" applyAlignment="1">
      <alignment horizontal="center" vertical="center" wrapText="1"/>
    </xf>
    <xf numFmtId="0" fontId="28" fillId="4" borderId="39" xfId="4" applyFont="1" applyBorder="1" applyAlignment="1">
      <alignment horizontal="center" vertical="center" wrapText="1"/>
    </xf>
    <xf numFmtId="1" fontId="5" fillId="32" borderId="37" xfId="0" applyNumberFormat="1" applyFont="1" applyFill="1" applyBorder="1" applyAlignment="1">
      <alignment horizontal="center" vertical="center" wrapText="1"/>
    </xf>
    <xf numFmtId="1" fontId="5" fillId="32" borderId="38" xfId="0" applyNumberFormat="1" applyFont="1" applyFill="1" applyBorder="1" applyAlignment="1">
      <alignment horizontal="center" vertical="center" wrapText="1"/>
    </xf>
    <xf numFmtId="1" fontId="5" fillId="32" borderId="39" xfId="0" applyNumberFormat="1" applyFont="1" applyFill="1" applyBorder="1" applyAlignment="1">
      <alignment horizontal="center" vertical="center" wrapText="1"/>
    </xf>
    <xf numFmtId="2" fontId="61" fillId="27" borderId="31" xfId="0" applyNumberFormat="1" applyFont="1" applyFill="1" applyBorder="1" applyAlignment="1">
      <alignment horizontal="center" vertical="center"/>
    </xf>
    <xf numFmtId="2" fontId="61" fillId="27" borderId="0" xfId="0" applyNumberFormat="1" applyFont="1" applyFill="1" applyAlignment="1">
      <alignment horizontal="center" vertical="center"/>
    </xf>
    <xf numFmtId="9" fontId="0" fillId="19" borderId="0" xfId="0" applyNumberFormat="1" applyFill="1" applyAlignment="1">
      <alignment horizontal="center" vertical="center"/>
    </xf>
    <xf numFmtId="0" fontId="0" fillId="0" borderId="0" xfId="0"/>
    <xf numFmtId="10" fontId="3" fillId="24" borderId="0" xfId="16" applyNumberFormat="1" applyFill="1" applyBorder="1" applyAlignment="1">
      <alignment horizontal="center" vertical="center"/>
    </xf>
    <xf numFmtId="10" fontId="51" fillId="25" borderId="0" xfId="15" applyNumberFormat="1" applyFont="1" applyFill="1" applyAlignment="1">
      <alignment horizontal="center" vertical="center"/>
    </xf>
    <xf numFmtId="0" fontId="28" fillId="2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27" borderId="0" xfId="0" applyFont="1" applyFill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0" fontId="32" fillId="21" borderId="0" xfId="16" applyFont="1" applyBorder="1" applyAlignment="1">
      <alignment horizontal="center" vertical="center"/>
    </xf>
    <xf numFmtId="165" fontId="24" fillId="25" borderId="0" xfId="0" applyNumberFormat="1" applyFont="1" applyFill="1" applyAlignment="1">
      <alignment horizontal="center" vertical="center"/>
    </xf>
    <xf numFmtId="0" fontId="37" fillId="3" borderId="0" xfId="15" applyFont="1" applyFill="1" applyBorder="1" applyAlignment="1">
      <alignment horizontal="center" vertical="center"/>
    </xf>
    <xf numFmtId="0" fontId="32" fillId="26" borderId="0" xfId="16" applyFont="1" applyFill="1" applyBorder="1" applyAlignment="1">
      <alignment horizontal="center" vertical="center"/>
    </xf>
    <xf numFmtId="0" fontId="30" fillId="0" borderId="16" xfId="0" applyFont="1" applyBorder="1" applyAlignment="1">
      <alignment horizontal="center" vertical="center" wrapText="1"/>
    </xf>
    <xf numFmtId="0" fontId="10" fillId="9" borderId="0" xfId="0" applyFont="1" applyFill="1" applyAlignment="1">
      <alignment horizontal="center" vertical="center"/>
    </xf>
    <xf numFmtId="0" fontId="10" fillId="14" borderId="0" xfId="0" applyFont="1" applyFill="1" applyAlignment="1">
      <alignment horizontal="center" vertical="center"/>
    </xf>
    <xf numFmtId="165" fontId="5" fillId="11" borderId="0" xfId="0" applyNumberFormat="1" applyFont="1" applyFill="1" applyAlignment="1">
      <alignment horizontal="center" vertical="center"/>
    </xf>
    <xf numFmtId="165" fontId="10" fillId="10" borderId="12" xfId="0" applyNumberFormat="1" applyFont="1" applyFill="1" applyBorder="1" applyAlignment="1">
      <alignment horizontal="center" vertical="center"/>
    </xf>
    <xf numFmtId="165" fontId="10" fillId="10" borderId="14" xfId="0" applyNumberFormat="1" applyFont="1" applyFill="1" applyBorder="1" applyAlignment="1">
      <alignment horizontal="center" vertical="center"/>
    </xf>
    <xf numFmtId="165" fontId="10" fillId="10" borderId="15" xfId="0" applyNumberFormat="1" applyFont="1" applyFill="1" applyBorder="1" applyAlignment="1">
      <alignment horizontal="center" vertical="center"/>
    </xf>
    <xf numFmtId="165" fontId="10" fillId="10" borderId="0" xfId="0" applyNumberFormat="1" applyFont="1" applyFill="1" applyAlignment="1">
      <alignment horizontal="center" vertical="center"/>
    </xf>
    <xf numFmtId="49" fontId="13" fillId="13" borderId="0" xfId="0" applyNumberFormat="1" applyFont="1" applyFill="1" applyAlignment="1">
      <alignment horizontal="center" vertical="center" wrapText="1"/>
    </xf>
    <xf numFmtId="165" fontId="20" fillId="15" borderId="0" xfId="0" applyNumberFormat="1" applyFont="1" applyFill="1" applyAlignment="1">
      <alignment horizontal="center" vertical="center"/>
    </xf>
    <xf numFmtId="0" fontId="13" fillId="13" borderId="0" xfId="0" applyFont="1" applyFill="1" applyAlignment="1">
      <alignment horizontal="center" vertical="center"/>
    </xf>
    <xf numFmtId="165" fontId="6" fillId="15" borderId="0" xfId="0" applyNumberFormat="1" applyFont="1" applyFill="1" applyAlignment="1">
      <alignment horizontal="center" vertical="center" wrapText="1"/>
    </xf>
    <xf numFmtId="165" fontId="10" fillId="12" borderId="0" xfId="0" applyNumberFormat="1" applyFont="1" applyFill="1" applyAlignment="1">
      <alignment horizontal="center" vertical="center"/>
    </xf>
    <xf numFmtId="0" fontId="63" fillId="26" borderId="0" xfId="0" applyFont="1" applyFill="1" applyAlignment="1">
      <alignment horizontal="center"/>
    </xf>
    <xf numFmtId="0" fontId="63" fillId="26" borderId="40" xfId="0" applyFont="1" applyFill="1" applyBorder="1" applyAlignment="1">
      <alignment horizontal="center"/>
    </xf>
    <xf numFmtId="0" fontId="64" fillId="41" borderId="41" xfId="0" applyFont="1" applyFill="1" applyBorder="1" applyAlignment="1">
      <alignment horizontal="center"/>
    </xf>
    <xf numFmtId="0" fontId="64" fillId="41" borderId="42" xfId="0" applyFont="1" applyFill="1" applyBorder="1" applyAlignment="1">
      <alignment horizontal="center"/>
    </xf>
    <xf numFmtId="0" fontId="64" fillId="41" borderId="43" xfId="0" applyFont="1" applyFill="1" applyBorder="1" applyAlignment="1">
      <alignment horizontal="center"/>
    </xf>
    <xf numFmtId="0" fontId="0" fillId="0" borderId="0" xfId="0" applyAlignment="1">
      <alignment horizontal="center"/>
    </xf>
    <xf numFmtId="14" fontId="39" fillId="42" borderId="0" xfId="0" applyNumberFormat="1" applyFont="1" applyFill="1" applyAlignment="1">
      <alignment horizontal="center" vertical="center"/>
    </xf>
    <xf numFmtId="14" fontId="39" fillId="42" borderId="28" xfId="0" applyNumberFormat="1" applyFont="1" applyFill="1" applyBorder="1" applyAlignment="1">
      <alignment horizontal="center" vertical="center"/>
    </xf>
    <xf numFmtId="0" fontId="39" fillId="42" borderId="0" xfId="0" applyFont="1" applyFill="1" applyAlignment="1">
      <alignment horizontal="center" vertical="center"/>
    </xf>
    <xf numFmtId="0" fontId="39" fillId="42" borderId="28" xfId="0" applyFont="1" applyFill="1" applyBorder="1" applyAlignment="1">
      <alignment horizontal="center" vertical="center"/>
    </xf>
    <xf numFmtId="0" fontId="1" fillId="26" borderId="0" xfId="0" applyFont="1" applyFill="1" applyAlignment="1">
      <alignment horizontal="center" vertical="center"/>
    </xf>
    <xf numFmtId="0" fontId="1" fillId="26" borderId="40" xfId="0" applyFont="1" applyFill="1" applyBorder="1" applyAlignment="1">
      <alignment horizontal="center" vertical="center"/>
    </xf>
    <xf numFmtId="0" fontId="56" fillId="4" borderId="33" xfId="12" applyFont="1" applyBorder="1" applyAlignment="1">
      <alignment horizontal="center" vertical="center"/>
    </xf>
    <xf numFmtId="0" fontId="56" fillId="4" borderId="34" xfId="12" applyFont="1" applyBorder="1" applyAlignment="1">
      <alignment horizontal="center" vertical="center"/>
    </xf>
    <xf numFmtId="0" fontId="56" fillId="4" borderId="35" xfId="12" applyFont="1" applyBorder="1" applyAlignment="1">
      <alignment horizontal="center" vertical="center"/>
    </xf>
    <xf numFmtId="0" fontId="57" fillId="40" borderId="33" xfId="0" applyFont="1" applyFill="1" applyBorder="1" applyAlignment="1">
      <alignment horizontal="center" vertical="center"/>
    </xf>
    <xf numFmtId="0" fontId="57" fillId="40" borderId="34" xfId="0" applyFont="1" applyFill="1" applyBorder="1" applyAlignment="1">
      <alignment horizontal="center" vertical="center"/>
    </xf>
    <xf numFmtId="0" fontId="57" fillId="40" borderId="35" xfId="0" applyFont="1" applyFill="1" applyBorder="1" applyAlignment="1">
      <alignment horizontal="center" vertical="center"/>
    </xf>
    <xf numFmtId="0" fontId="17" fillId="29" borderId="0" xfId="0" applyFont="1" applyFill="1" applyAlignment="1">
      <alignment horizontal="center" vertical="center"/>
    </xf>
    <xf numFmtId="0" fontId="42" fillId="21" borderId="19" xfId="16" applyFont="1" applyBorder="1" applyAlignment="1">
      <alignment horizontal="center" vertical="center" wrapText="1"/>
    </xf>
    <xf numFmtId="14" fontId="34" fillId="38" borderId="19" xfId="21" applyNumberFormat="1" applyFont="1" applyBorder="1" applyAlignment="1">
      <alignment horizontal="center" vertical="center"/>
    </xf>
    <xf numFmtId="0" fontId="3" fillId="39" borderId="0" xfId="0" applyFont="1" applyFill="1" applyAlignment="1">
      <alignment horizontal="center"/>
    </xf>
    <xf numFmtId="0" fontId="32" fillId="29" borderId="0" xfId="0" applyFont="1" applyFill="1" applyAlignment="1">
      <alignment horizontal="center" vertical="center" wrapText="1"/>
    </xf>
    <xf numFmtId="9" fontId="34" fillId="38" borderId="19" xfId="21" applyNumberFormat="1" applyFont="1" applyBorder="1" applyAlignment="1">
      <alignment horizontal="center" vertical="center"/>
    </xf>
    <xf numFmtId="0" fontId="34" fillId="0" borderId="19" xfId="21" applyFont="1" applyFill="1" applyBorder="1" applyAlignment="1">
      <alignment horizontal="center" vertical="center"/>
    </xf>
    <xf numFmtId="0" fontId="42" fillId="21" borderId="19" xfId="16" applyFont="1" applyBorder="1" applyAlignment="1">
      <alignment horizontal="center" vertical="center"/>
    </xf>
    <xf numFmtId="0" fontId="52" fillId="0" borderId="19" xfId="0" applyFont="1" applyBorder="1" applyAlignment="1">
      <alignment horizontal="center"/>
    </xf>
    <xf numFmtId="0" fontId="34" fillId="38" borderId="19" xfId="21" applyFont="1" applyBorder="1" applyAlignment="1">
      <alignment horizontal="center" vertical="center"/>
    </xf>
    <xf numFmtId="0" fontId="45" fillId="4" borderId="33" xfId="12" applyFont="1" applyBorder="1" applyAlignment="1">
      <alignment horizontal="center" vertical="center"/>
    </xf>
    <xf numFmtId="0" fontId="45" fillId="4" borderId="34" xfId="12" applyFont="1" applyBorder="1" applyAlignment="1">
      <alignment horizontal="center" vertical="center"/>
    </xf>
    <xf numFmtId="0" fontId="45" fillId="4" borderId="35" xfId="12" applyFont="1" applyBorder="1" applyAlignment="1">
      <alignment horizontal="center" vertical="center"/>
    </xf>
    <xf numFmtId="0" fontId="4" fillId="40" borderId="33" xfId="0" applyFont="1" applyFill="1" applyBorder="1" applyAlignment="1">
      <alignment horizontal="center" vertical="center"/>
    </xf>
    <xf numFmtId="0" fontId="4" fillId="40" borderId="34" xfId="0" applyFont="1" applyFill="1" applyBorder="1" applyAlignment="1">
      <alignment horizontal="center" vertical="center"/>
    </xf>
    <xf numFmtId="0" fontId="4" fillId="40" borderId="35" xfId="0" applyFont="1" applyFill="1" applyBorder="1" applyAlignment="1">
      <alignment horizontal="center" vertical="center"/>
    </xf>
    <xf numFmtId="0" fontId="23" fillId="20" borderId="0" xfId="0" applyFont="1" applyFill="1" applyAlignment="1">
      <alignment horizontal="center" vertical="center"/>
    </xf>
    <xf numFmtId="0" fontId="28" fillId="28" borderId="0" xfId="15" applyFont="1" applyFill="1" applyBorder="1" applyAlignment="1">
      <alignment horizontal="center" vertical="center"/>
    </xf>
    <xf numFmtId="0" fontId="28" fillId="3" borderId="27" xfId="15" applyFont="1" applyFill="1" applyBorder="1" applyAlignment="1">
      <alignment horizontal="center" vertical="center"/>
    </xf>
    <xf numFmtId="0" fontId="28" fillId="3" borderId="0" xfId="15" applyFont="1" applyFill="1" applyBorder="1" applyAlignment="1">
      <alignment horizontal="center" vertical="center"/>
    </xf>
    <xf numFmtId="0" fontId="28" fillId="3" borderId="22" xfId="15" applyFont="1" applyFill="1" applyBorder="1" applyAlignment="1">
      <alignment horizontal="center" vertical="center"/>
    </xf>
    <xf numFmtId="0" fontId="1" fillId="0" borderId="0" xfId="0" applyFont="1" applyAlignment="1" applyProtection="1">
      <alignment horizontal="center"/>
      <protection locked="0"/>
    </xf>
    <xf numFmtId="8" fontId="21" fillId="17" borderId="19" xfId="9" applyNumberFormat="1" applyFill="1" applyBorder="1" applyAlignment="1" applyProtection="1">
      <alignment horizontal="center" vertical="center"/>
      <protection locked="0"/>
    </xf>
  </cellXfs>
  <cellStyles count="22">
    <cellStyle name="20% - Ênfase5" xfId="13" builtinId="46"/>
    <cellStyle name="40% - Ênfase3" xfId="18" builtinId="39"/>
    <cellStyle name="40% - Ênfase5" xfId="14" builtinId="47" customBuiltin="1"/>
    <cellStyle name="60% - Ênfase3" xfId="20" builtinId="40"/>
    <cellStyle name="60% - Ênfase5" xfId="21" builtinId="48"/>
    <cellStyle name="Célula de Verificação" xfId="1" builtinId="23"/>
    <cellStyle name="Ênfase1" xfId="16" builtinId="29" customBuiltin="1"/>
    <cellStyle name="Ênfase3" xfId="17" builtinId="37" customBuiltin="1"/>
    <cellStyle name="Ênfase5" xfId="12" builtinId="45"/>
    <cellStyle name="Estilo 1" xfId="2" xr:uid="{00000000-0005-0000-0000-000009000000}"/>
    <cellStyle name="Estilo 2" xfId="3" xr:uid="{00000000-0005-0000-0000-00000A000000}"/>
    <cellStyle name="Estilo 3" xfId="4" xr:uid="{00000000-0005-0000-0000-00000B000000}"/>
    <cellStyle name="Estilo 4" xfId="8" xr:uid="{00000000-0005-0000-0000-00000C000000}"/>
    <cellStyle name="Estilo 5" xfId="19" xr:uid="{00000000-0005-0000-0000-00000D000000}"/>
    <cellStyle name="Hiperlink" xfId="15" builtinId="8"/>
    <cellStyle name="Moeda" xfId="9" builtinId="4"/>
    <cellStyle name="Normal" xfId="0" builtinId="0"/>
    <cellStyle name="Nota" xfId="11" builtinId="10" customBuiltin="1"/>
    <cellStyle name="Padrão Azul" xfId="5" xr:uid="{00000000-0005-0000-0000-000012000000}"/>
    <cellStyle name="Porcentagem" xfId="10" builtinId="5"/>
    <cellStyle name="Verde" xfId="7" xr:uid="{00000000-0005-0000-0000-000014000000}"/>
    <cellStyle name="Vermelho" xfId="6" xr:uid="{00000000-0005-0000-0000-000015000000}"/>
  </cellStyles>
  <dxfs count="93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color theme="1"/>
      </font>
      <fill>
        <patternFill>
          <bgColor theme="9" tint="0.3999450666829432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1"/>
      </font>
      <fill>
        <patternFill>
          <bgColor theme="5" tint="0.3999450666829432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1"/>
      </font>
      <fill>
        <patternFill>
          <bgColor theme="9" tint="0.3999450666829432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1"/>
      </font>
      <fill>
        <patternFill>
          <bgColor theme="5" tint="0.3999450666829432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1"/>
      </font>
      <fill>
        <patternFill>
          <bgColor theme="9" tint="0.3999450666829432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1"/>
      </font>
      <fill>
        <patternFill>
          <bgColor theme="5" tint="0.3999450666829432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1"/>
      </font>
      <fill>
        <patternFill>
          <bgColor theme="9" tint="0.3999450666829432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1"/>
      </font>
      <fill>
        <patternFill>
          <bgColor theme="5" tint="0.3999450666829432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1"/>
      </font>
      <fill>
        <patternFill>
          <bgColor theme="9" tint="0.3999450666829432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1"/>
      </font>
      <fill>
        <patternFill>
          <bgColor theme="5" tint="0.3999450666829432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1"/>
      </font>
      <fill>
        <patternFill>
          <bgColor theme="9" tint="0.3999450666829432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1"/>
      </font>
      <fill>
        <patternFill>
          <bgColor theme="5" tint="0.3999450666829432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1"/>
      </font>
      <fill>
        <patternFill>
          <bgColor theme="9" tint="0.3999450666829432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1"/>
      </font>
      <fill>
        <patternFill>
          <bgColor theme="5" tint="0.3999450666829432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1"/>
      </font>
      <fill>
        <patternFill>
          <bgColor theme="9" tint="0.3999450666829432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1"/>
      </font>
      <fill>
        <patternFill>
          <bgColor theme="5" tint="0.3999450666829432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1"/>
      </font>
      <fill>
        <patternFill>
          <bgColor theme="9" tint="0.3999450666829432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1"/>
      </font>
      <fill>
        <patternFill>
          <bgColor theme="5" tint="0.3999450666829432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1"/>
      </font>
      <fill>
        <patternFill>
          <bgColor theme="9" tint="0.3999450666829432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1"/>
      </font>
      <fill>
        <patternFill>
          <bgColor theme="5" tint="0.3999450666829432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1"/>
      </font>
      <fill>
        <patternFill>
          <bgColor theme="9" tint="0.3999450666829432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1"/>
      </font>
      <fill>
        <patternFill>
          <bgColor theme="5" tint="0.3999450666829432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33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1"/>
      </font>
      <fill>
        <patternFill>
          <bgColor theme="5" tint="0.3999450666829432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5" tint="-0.24994659260841701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7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8" tint="-0.24994659260841701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theme="9" tint="-0.24994659260841701"/>
      </font>
    </dxf>
    <dxf>
      <font>
        <color rgb="FFFF3300"/>
      </font>
    </dxf>
    <dxf>
      <font>
        <b/>
        <i val="0"/>
        <color rgb="FF269633"/>
      </font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theme="8" tint="-0.24994659260841701"/>
      </font>
      <fill>
        <patternFill>
          <bgColor theme="8" tint="0.59996337778862885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b/>
        <i val="0"/>
        <color theme="7" tint="-0.24994659260841701"/>
      </font>
      <fill>
        <patternFill>
          <bgColor theme="7" tint="0.59996337778862885"/>
        </patternFill>
      </fill>
    </dxf>
    <dxf>
      <font>
        <b/>
        <i val="0"/>
        <color rgb="FFFF0000"/>
      </font>
      <fill>
        <patternFill>
          <bgColor rgb="FFFFB7B7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9" tint="-0.24994659260841701"/>
      </font>
      <fill>
        <patternFill>
          <bgColor theme="9" tint="0.5999633777886288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alignment vertical="center" textRotation="0" indent="0" justifyLastLine="0" shrinkToFit="0" readingOrder="0"/>
    </dxf>
    <dxf>
      <border outline="0">
        <top style="medium">
          <color theme="2"/>
        </top>
        <bottom style="medium">
          <color theme="2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8" formatCode="[$-416]d\-mmm;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0"/>
        <name val="Segoe UI"/>
        <family val="2"/>
        <scheme val="none"/>
      </font>
      <numFmt numFmtId="168" formatCode="[$-416]d\-mmm;@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alignment vertical="center" textRotation="0" indent="0" justifyLastLine="0" shrinkToFit="0" readingOrder="0"/>
    </dxf>
    <dxf>
      <border outline="0">
        <top style="medium">
          <color theme="2"/>
        </top>
        <bottom style="medium">
          <color theme="2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8" formatCode="[$-416]d\-mmm;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0"/>
        <name val="Segoe UI"/>
        <family val="2"/>
        <scheme val="none"/>
      </font>
      <numFmt numFmtId="168" formatCode="[$-416]d\-mmm;@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alignment vertical="center" textRotation="0" indent="0" justifyLastLine="0" shrinkToFit="0" readingOrder="0"/>
    </dxf>
    <dxf>
      <border outline="0">
        <top style="medium">
          <color theme="2"/>
        </top>
        <bottom style="medium">
          <color theme="2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8" formatCode="[$-416]d\-mmm;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0"/>
        <name val="Segoe UI"/>
        <family val="2"/>
        <scheme val="none"/>
      </font>
      <numFmt numFmtId="168" formatCode="[$-416]d\-mmm;@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alignment vertical="center" textRotation="0" indent="0" justifyLastLine="0" shrinkToFit="0" readingOrder="0"/>
    </dxf>
    <dxf>
      <border outline="0">
        <top style="medium">
          <color theme="2"/>
        </top>
        <bottom style="medium">
          <color theme="2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8" formatCode="[$-416]d\-mmm;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0"/>
        <name val="Segoe UI"/>
        <family val="2"/>
        <scheme val="none"/>
      </font>
      <numFmt numFmtId="168" formatCode="[$-416]d\-mmm;@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alignment vertical="center" textRotation="0" indent="0" justifyLastLine="0" shrinkToFit="0" readingOrder="0"/>
    </dxf>
    <dxf>
      <border outline="0">
        <top style="medium">
          <color theme="2"/>
        </top>
        <bottom style="medium">
          <color theme="2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8" formatCode="[$-416]d\-mmm;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0"/>
        <name val="Segoe UI"/>
        <family val="2"/>
        <scheme val="none"/>
      </font>
      <numFmt numFmtId="168" formatCode="[$-416]d\-mmm;@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alignment vertical="center" textRotation="0" indent="0" justifyLastLine="0" shrinkToFit="0" readingOrder="0"/>
    </dxf>
    <dxf>
      <border outline="0">
        <top style="medium">
          <color theme="2"/>
        </top>
        <bottom style="medium">
          <color theme="2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8" formatCode="[$-416]d\-mmm;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0"/>
        <name val="Segoe UI"/>
        <family val="2"/>
        <scheme val="none"/>
      </font>
      <numFmt numFmtId="168" formatCode="[$-416]d\-mmm;@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alignment vertical="center" textRotation="0" indent="0" justifyLastLine="0" shrinkToFit="0" readingOrder="0"/>
    </dxf>
    <dxf>
      <border outline="0">
        <top style="medium">
          <color theme="2"/>
        </top>
        <bottom style="medium">
          <color theme="2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8" formatCode="[$-416]d\-mmm;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0"/>
        <name val="Segoe UI"/>
        <family val="2"/>
        <scheme val="none"/>
      </font>
      <numFmt numFmtId="168" formatCode="[$-416]d\-mmm;@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ck">
          <color theme="2" tint="-0.24994659260841701"/>
        </left>
        <right style="thick">
          <color theme="2" tint="-0.24994659260841701"/>
        </right>
        <top style="thick">
          <color theme="2" tint="-0.24994659260841701"/>
        </top>
        <bottom style="thick">
          <color theme="2" tint="-0.24994659260841701"/>
        </bottom>
        <vertical style="thick">
          <color theme="2" tint="-0.24994659260841701"/>
        </vertical>
        <horizontal style="thick">
          <color theme="2" tint="-0.2499465926084170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ck">
          <color theme="2" tint="-0.24994659260841701"/>
        </left>
        <right style="thick">
          <color theme="2" tint="-0.24994659260841701"/>
        </right>
        <top style="thick">
          <color theme="2" tint="-0.24994659260841701"/>
        </top>
        <bottom style="thick">
          <color theme="2" tint="-0.24994659260841701"/>
        </bottom>
        <vertical style="thick">
          <color theme="2" tint="-0.24994659260841701"/>
        </vertical>
        <horizontal style="thick">
          <color theme="2" tint="-0.2499465926084170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ck">
          <color theme="2" tint="-0.24994659260841701"/>
        </left>
        <right style="thick">
          <color theme="2" tint="-0.24994659260841701"/>
        </right>
        <top style="thick">
          <color theme="2" tint="-0.24994659260841701"/>
        </top>
        <bottom style="thick">
          <color theme="2" tint="-0.24994659260841701"/>
        </bottom>
        <vertical style="thick">
          <color theme="2" tint="-0.24994659260841701"/>
        </vertical>
        <horizontal style="thick">
          <color theme="2" tint="-0.2499465926084170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ck">
          <color theme="2" tint="-0.24994659260841701"/>
        </left>
        <right style="thick">
          <color theme="2" tint="-0.24994659260841701"/>
        </right>
        <top style="thick">
          <color theme="2" tint="-0.24994659260841701"/>
        </top>
        <bottom style="thick">
          <color theme="2" tint="-0.24994659260841701"/>
        </bottom>
        <vertical style="thick">
          <color theme="2" tint="-0.24994659260841701"/>
        </vertical>
        <horizontal style="thick">
          <color theme="2" tint="-0.2499465926084170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ck">
          <color theme="2" tint="-0.24994659260841701"/>
        </left>
        <right style="thick">
          <color theme="2" tint="-0.24994659260841701"/>
        </right>
        <top style="thick">
          <color theme="2" tint="-0.24994659260841701"/>
        </top>
        <bottom style="thick">
          <color theme="2" tint="-0.24994659260841701"/>
        </bottom>
        <vertical style="thick">
          <color theme="2" tint="-0.24994659260841701"/>
        </vertical>
        <horizontal style="thick">
          <color theme="2" tint="-0.2499465926084170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ck">
          <color theme="2" tint="-0.24994659260841701"/>
        </left>
        <right style="thick">
          <color theme="2" tint="-0.24994659260841701"/>
        </right>
        <top style="thick">
          <color theme="2" tint="-0.24994659260841701"/>
        </top>
        <bottom style="thick">
          <color theme="2" tint="-0.24994659260841701"/>
        </bottom>
        <vertical style="thick">
          <color theme="2" tint="-0.24994659260841701"/>
        </vertical>
        <horizontal style="thick">
          <color theme="2" tint="-0.2499465926084170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ck">
          <color theme="2" tint="-0.24994659260841701"/>
        </left>
        <right style="thick">
          <color theme="2" tint="-0.24994659260841701"/>
        </right>
        <top style="thick">
          <color theme="2" tint="-0.24994659260841701"/>
        </top>
        <bottom style="thick">
          <color theme="2" tint="-0.24994659260841701"/>
        </bottom>
        <vertical style="thick">
          <color theme="2" tint="-0.24994659260841701"/>
        </vertical>
        <horizontal style="thick">
          <color theme="2" tint="-0.2499465926084170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ck">
          <color theme="2" tint="-0.24994659260841701"/>
        </left>
        <right style="thick">
          <color theme="2" tint="-0.24994659260841701"/>
        </right>
        <top style="thick">
          <color theme="2" tint="-0.24994659260841701"/>
        </top>
        <bottom style="thick">
          <color theme="2" tint="-0.24994659260841701"/>
        </bottom>
        <vertical style="thick">
          <color theme="2" tint="-0.24994659260841701"/>
        </vertical>
        <horizontal style="thick">
          <color theme="2" tint="-0.2499465926084170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ck">
          <color theme="2" tint="-0.24994659260841701"/>
        </left>
        <right style="thick">
          <color theme="2" tint="-0.24994659260841701"/>
        </right>
        <top style="thick">
          <color theme="2" tint="-0.24994659260841701"/>
        </top>
        <bottom style="thick">
          <color theme="2" tint="-0.24994659260841701"/>
        </bottom>
        <vertical style="thick">
          <color theme="2" tint="-0.24994659260841701"/>
        </vertical>
        <horizontal style="thick">
          <color theme="2" tint="-0.2499465926084170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ck">
          <color theme="2" tint="-0.24994659260841701"/>
        </left>
        <right style="thick">
          <color theme="2" tint="-0.24994659260841701"/>
        </right>
        <top style="thick">
          <color theme="2" tint="-0.24994659260841701"/>
        </top>
        <bottom style="thick">
          <color theme="2" tint="-0.24994659260841701"/>
        </bottom>
        <vertical style="thick">
          <color theme="2" tint="-0.24994659260841701"/>
        </vertical>
        <horizontal style="thick">
          <color theme="2" tint="-0.2499465926084170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ck">
          <color theme="2" tint="-0.24994659260841701"/>
        </left>
        <right style="thick">
          <color theme="2" tint="-0.24994659260841701"/>
        </right>
        <top style="thick">
          <color theme="2" tint="-0.24994659260841701"/>
        </top>
        <bottom style="thick">
          <color theme="2" tint="-0.24994659260841701"/>
        </bottom>
        <vertical style="thick">
          <color theme="2" tint="-0.24994659260841701"/>
        </vertical>
        <horizontal style="thick">
          <color theme="2" tint="-0.2499465926084170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ck">
          <color theme="2" tint="-0.24994659260841701"/>
        </left>
        <right style="thick">
          <color theme="2" tint="-0.24994659260841701"/>
        </right>
        <top style="thick">
          <color theme="2" tint="-0.24994659260841701"/>
        </top>
        <bottom style="thick">
          <color theme="2" tint="-0.24994659260841701"/>
        </bottom>
        <vertical style="thick">
          <color theme="2" tint="-0.24994659260841701"/>
        </vertical>
        <horizontal style="thick">
          <color theme="2" tint="-0.2499465926084170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ck">
          <color theme="2" tint="-0.24994659260841701"/>
        </left>
        <right style="thick">
          <color theme="2" tint="-0.24994659260841701"/>
        </right>
        <top style="thick">
          <color theme="2" tint="-0.24994659260841701"/>
        </top>
        <bottom style="thick">
          <color theme="2" tint="-0.24994659260841701"/>
        </bottom>
        <vertical style="thick">
          <color theme="2" tint="-0.24994659260841701"/>
        </vertical>
        <horizontal style="thick">
          <color theme="2" tint="-0.2499465926084170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ck">
          <color theme="2" tint="-0.24994659260841701"/>
        </left>
        <right style="thick">
          <color theme="2" tint="-0.24994659260841701"/>
        </right>
        <top style="thick">
          <color theme="2" tint="-0.24994659260841701"/>
        </top>
        <bottom style="thick">
          <color theme="2" tint="-0.24994659260841701"/>
        </bottom>
        <vertical style="thick">
          <color theme="2" tint="-0.24994659260841701"/>
        </vertical>
        <horizontal style="thick">
          <color theme="2" tint="-0.2499465926084170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ck">
          <color theme="2" tint="-0.24994659260841701"/>
        </left>
        <right style="thick">
          <color theme="2" tint="-0.24994659260841701"/>
        </right>
        <top style="thick">
          <color theme="2" tint="-0.24994659260841701"/>
        </top>
        <bottom style="thick">
          <color theme="2" tint="-0.24994659260841701"/>
        </bottom>
        <vertical style="thick">
          <color theme="2" tint="-0.24994659260841701"/>
        </vertical>
        <horizontal style="thick">
          <color theme="2" tint="-0.2499465926084170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ck">
          <color theme="2" tint="-0.24994659260841701"/>
        </left>
        <right style="thick">
          <color theme="2" tint="-0.24994659260841701"/>
        </right>
        <top style="thick">
          <color theme="2" tint="-0.24994659260841701"/>
        </top>
        <bottom style="thick">
          <color theme="2" tint="-0.24994659260841701"/>
        </bottom>
        <vertical style="thick">
          <color theme="2" tint="-0.24994659260841701"/>
        </vertical>
        <horizontal style="thick">
          <color theme="2" tint="-0.2499465926084170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ck">
          <color theme="2" tint="-0.24994659260841701"/>
        </left>
        <right style="thick">
          <color theme="2" tint="-0.24994659260841701"/>
        </right>
        <top style="thick">
          <color theme="2" tint="-0.24994659260841701"/>
        </top>
        <bottom style="thick">
          <color theme="2" tint="-0.24994659260841701"/>
        </bottom>
        <vertical style="thick">
          <color theme="2" tint="-0.24994659260841701"/>
        </vertical>
        <horizontal style="thick">
          <color theme="2" tint="-0.2499465926084170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ck">
          <color theme="2" tint="-0.24994659260841701"/>
        </left>
        <right style="thick">
          <color theme="2" tint="-0.24994659260841701"/>
        </right>
        <top style="thick">
          <color theme="2" tint="-0.24994659260841701"/>
        </top>
        <bottom style="thick">
          <color theme="2" tint="-0.24994659260841701"/>
        </bottom>
        <vertical style="thick">
          <color theme="2" tint="-0.24994659260841701"/>
        </vertical>
        <horizontal style="thick">
          <color theme="2" tint="-0.2499465926084170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ck">
          <color theme="2" tint="-0.24994659260841701"/>
        </left>
        <right style="thick">
          <color theme="2" tint="-0.24994659260841701"/>
        </right>
        <top style="thick">
          <color theme="2" tint="-0.24994659260841701"/>
        </top>
        <bottom style="thick">
          <color theme="2" tint="-0.24994659260841701"/>
        </bottom>
        <vertical style="thick">
          <color theme="2" tint="-0.24994659260841701"/>
        </vertical>
        <horizontal style="thick">
          <color theme="2" tint="-0.2499465926084170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ck">
          <color theme="2" tint="-0.24994659260841701"/>
        </left>
        <right style="thick">
          <color theme="2" tint="-0.24994659260841701"/>
        </right>
        <top style="thick">
          <color theme="2" tint="-0.24994659260841701"/>
        </top>
        <bottom style="thick">
          <color theme="2" tint="-0.24994659260841701"/>
        </bottom>
        <vertical style="thick">
          <color theme="2" tint="-0.24994659260841701"/>
        </vertical>
        <horizontal style="thick">
          <color theme="2" tint="-0.2499465926084170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ck">
          <color theme="2" tint="-0.24994659260841701"/>
        </left>
        <right style="thick">
          <color theme="2" tint="-0.24994659260841701"/>
        </right>
        <top style="thick">
          <color theme="2" tint="-0.24994659260841701"/>
        </top>
        <bottom style="thick">
          <color theme="2" tint="-0.24994659260841701"/>
        </bottom>
        <vertical style="thick">
          <color theme="2" tint="-0.24994659260841701"/>
        </vertical>
        <horizontal style="thick">
          <color theme="2" tint="-0.2499465926084170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ck">
          <color theme="2" tint="-0.24994659260841701"/>
        </left>
        <right style="thick">
          <color theme="2" tint="-0.24994659260841701"/>
        </right>
        <top style="thick">
          <color theme="2" tint="-0.24994659260841701"/>
        </top>
        <bottom style="thick">
          <color theme="2" tint="-0.24994659260841701"/>
        </bottom>
        <vertical style="thick">
          <color theme="2" tint="-0.24994659260841701"/>
        </vertical>
        <horizontal style="thick">
          <color theme="2" tint="-0.2499465926084170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ck">
          <color theme="2" tint="-0.24994659260841701"/>
        </left>
        <right style="thick">
          <color theme="2" tint="-0.24994659260841701"/>
        </right>
        <top style="thick">
          <color theme="2" tint="-0.24994659260841701"/>
        </top>
        <bottom style="thick">
          <color theme="2" tint="-0.24994659260841701"/>
        </bottom>
        <vertical style="thick">
          <color theme="2" tint="-0.24994659260841701"/>
        </vertical>
        <horizontal style="thick">
          <color theme="2" tint="-0.2499465926084170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ck">
          <color theme="2" tint="-0.24994659260841701"/>
        </left>
        <right style="thick">
          <color theme="2" tint="-0.24994659260841701"/>
        </right>
        <top style="thick">
          <color theme="2" tint="-0.24994659260841701"/>
        </top>
        <bottom style="thick">
          <color theme="2" tint="-0.24994659260841701"/>
        </bottom>
        <vertical style="thick">
          <color theme="2" tint="-0.24994659260841701"/>
        </vertical>
        <horizontal style="thick">
          <color theme="2" tint="-0.2499465926084170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ck">
          <color theme="2" tint="-0.24994659260841701"/>
        </left>
        <right style="thick">
          <color theme="2" tint="-0.24994659260841701"/>
        </right>
        <top style="thick">
          <color theme="2" tint="-0.24994659260841701"/>
        </top>
        <bottom style="thick">
          <color theme="2" tint="-0.24994659260841701"/>
        </bottom>
        <vertical style="thick">
          <color theme="2" tint="-0.24994659260841701"/>
        </vertical>
        <horizontal style="thick">
          <color theme="2" tint="-0.2499465926084170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ck">
          <color theme="2" tint="-0.24994659260841701"/>
        </left>
        <right style="thick">
          <color theme="2" tint="-0.24994659260841701"/>
        </right>
        <top style="thick">
          <color theme="2" tint="-0.24994659260841701"/>
        </top>
        <bottom style="thick">
          <color theme="2" tint="-0.24994659260841701"/>
        </bottom>
        <vertical style="thick">
          <color theme="2" tint="-0.24994659260841701"/>
        </vertical>
        <horizontal style="thick">
          <color theme="2" tint="-0.2499465926084170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ck">
          <color theme="2" tint="-0.24994659260841701"/>
        </left>
        <right style="thick">
          <color theme="2" tint="-0.24994659260841701"/>
        </right>
        <top style="thick">
          <color theme="2" tint="-0.24994659260841701"/>
        </top>
        <bottom style="thick">
          <color theme="2" tint="-0.24994659260841701"/>
        </bottom>
        <vertical style="thick">
          <color theme="2" tint="-0.24994659260841701"/>
        </vertical>
        <horizontal style="thick">
          <color theme="2" tint="-0.2499465926084170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ck">
          <color theme="2" tint="-0.24994659260841701"/>
        </left>
        <right style="thick">
          <color theme="2" tint="-0.24994659260841701"/>
        </right>
        <top style="thick">
          <color theme="2" tint="-0.24994659260841701"/>
        </top>
        <bottom style="thick">
          <color theme="2" tint="-0.24994659260841701"/>
        </bottom>
        <vertical style="thick">
          <color theme="2" tint="-0.24994659260841701"/>
        </vertical>
        <horizontal style="thick">
          <color theme="2" tint="-0.2499465926084170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ck">
          <color theme="2" tint="-0.24994659260841701"/>
        </left>
        <right style="thick">
          <color theme="2" tint="-0.24994659260841701"/>
        </right>
        <top style="thick">
          <color theme="2" tint="-0.24994659260841701"/>
        </top>
        <bottom style="thick">
          <color theme="2" tint="-0.24994659260841701"/>
        </bottom>
        <vertical style="thick">
          <color theme="2" tint="-0.24994659260841701"/>
        </vertical>
        <horizontal style="thick">
          <color theme="2" tint="-0.2499465926084170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ck">
          <color theme="2" tint="-0.24994659260841701"/>
        </left>
        <right style="thick">
          <color theme="2" tint="-0.24994659260841701"/>
        </right>
        <top style="thick">
          <color theme="2" tint="-0.24994659260841701"/>
        </top>
        <bottom style="thick">
          <color theme="2" tint="-0.24994659260841701"/>
        </bottom>
        <vertical style="thick">
          <color theme="2" tint="-0.24994659260841701"/>
        </vertical>
        <horizontal style="thick">
          <color theme="2" tint="-0.2499465926084170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ck">
          <color theme="2" tint="-0.24994659260841701"/>
        </left>
        <right style="thick">
          <color theme="2" tint="-0.24994659260841701"/>
        </right>
        <top style="thick">
          <color theme="2" tint="-0.24994659260841701"/>
        </top>
        <bottom style="thick">
          <color theme="2" tint="-0.24994659260841701"/>
        </bottom>
        <vertical style="thick">
          <color theme="2" tint="-0.24994659260841701"/>
        </vertical>
        <horizontal style="thick">
          <color theme="2" tint="-0.24994659260841701"/>
        </horizontal>
      </border>
      <protection locked="0" hidden="0"/>
    </dxf>
    <dxf>
      <numFmt numFmtId="168" formatCode="[$-416]d\-mmm;@"/>
      <alignment horizontal="center" vertical="center" textRotation="0" indent="0" justifyLastLine="0" shrinkToFit="0" readingOrder="0"/>
    </dxf>
    <dxf>
      <border outline="0">
        <top style="medium">
          <color theme="2"/>
        </top>
        <bottom style="medium">
          <color theme="2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8" formatCode="[$-416]d\-mmm;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0"/>
        <name val="Segoe UI"/>
        <family val="2"/>
        <scheme val="none"/>
      </font>
      <numFmt numFmtId="168" formatCode="[$-416]d\-mmm;@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numFmt numFmtId="168" formatCode="[$-416]d\-mmm;@"/>
      <alignment horizontal="center" vertical="center" textRotation="0" indent="0" justifyLastLine="0" shrinkToFit="0" readingOrder="0"/>
    </dxf>
    <dxf>
      <border outline="0">
        <top style="medium">
          <color theme="2"/>
        </top>
        <bottom style="medium">
          <color theme="2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8" formatCode="[$-416]d\-mmm;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0"/>
        <name val="Segoe UI"/>
        <family val="2"/>
        <scheme val="none"/>
      </font>
      <numFmt numFmtId="168" formatCode="[$-416]d\-mmm;@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alignment vertical="center" textRotation="0" indent="0" justifyLastLine="0" shrinkToFit="0" readingOrder="0"/>
    </dxf>
    <dxf>
      <border outline="0">
        <top style="medium">
          <color theme="2"/>
        </top>
        <bottom style="medium">
          <color theme="2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8" formatCode="[$-416]d\-mmm;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0"/>
        <name val="Segoe UI"/>
        <family val="2"/>
        <scheme val="none"/>
      </font>
      <numFmt numFmtId="168" formatCode="[$-416]d\-mmm;@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2" tint="-0.24994659260841701"/>
        </top>
        <bottom style="medium">
          <color theme="2" tint="-0.24994659260841701"/>
        </bottom>
      </border>
      <protection locked="0" hidden="0"/>
    </dxf>
    <dxf>
      <alignment vertical="center" textRotation="0" indent="0" justifyLastLine="0" shrinkToFit="0" readingOrder="0"/>
    </dxf>
    <dxf>
      <border outline="0">
        <top style="medium">
          <color theme="2"/>
        </top>
        <bottom style="medium">
          <color theme="2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8" formatCode="[$-416]d\-mmm;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0"/>
        <name val="Segoe UI"/>
        <family val="2"/>
        <scheme val="none"/>
      </font>
      <numFmt numFmtId="168" formatCode="[$-416]d\-mmm;@"/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border outline="0">
        <top style="medium">
          <color theme="2"/>
        </top>
        <bottom style="medium">
          <color theme="2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8" formatCode="[$-416]d\-mmm;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0"/>
        <name val="Segoe UI"/>
        <family val="2"/>
        <scheme val="none"/>
      </font>
      <numFmt numFmtId="168" formatCode="[$-416]d\-mmm;@"/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4418E6"/>
      <color rgb="FF269633"/>
      <color rgb="FFFFB7B7"/>
      <color rgb="FFFDB6B1"/>
      <color rgb="FFFF9F9F"/>
      <color rgb="FFFF3300"/>
      <color rgb="FFFF3B3B"/>
      <color rgb="FFFF0000"/>
      <color rgb="FFCC0000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worksheet" Target="worksheets/sheet24.xml"/><Relationship Id="rId39" Type="http://schemas.openxmlformats.org/officeDocument/2006/relationships/calcChain" Target="calcChain.xml"/><Relationship Id="rId21" Type="http://schemas.openxmlformats.org/officeDocument/2006/relationships/worksheet" Target="worksheets/sheet19.xml"/><Relationship Id="rId34" Type="http://schemas.openxmlformats.org/officeDocument/2006/relationships/worksheet" Target="worksheets/sheet32.xml"/><Relationship Id="rId7" Type="http://schemas.openxmlformats.org/officeDocument/2006/relationships/worksheet" Target="worksheets/sheet5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worksheet" Target="worksheets/sheet23.xml"/><Relationship Id="rId33" Type="http://schemas.openxmlformats.org/officeDocument/2006/relationships/worksheet" Target="worksheets/sheet31.xml"/><Relationship Id="rId38" Type="http://schemas.openxmlformats.org/officeDocument/2006/relationships/sharedStrings" Target="sharedStrings.xml"/><Relationship Id="rId2" Type="http://schemas.openxmlformats.org/officeDocument/2006/relationships/chartsheet" Target="chartsheets/sheet2.xml"/><Relationship Id="rId16" Type="http://schemas.openxmlformats.org/officeDocument/2006/relationships/worksheet" Target="worksheets/sheet14.xml"/><Relationship Id="rId20" Type="http://schemas.openxmlformats.org/officeDocument/2006/relationships/worksheet" Target="worksheets/sheet18.xml"/><Relationship Id="rId29" Type="http://schemas.openxmlformats.org/officeDocument/2006/relationships/worksheet" Target="worksheets/sheet27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9.xml"/><Relationship Id="rId24" Type="http://schemas.openxmlformats.org/officeDocument/2006/relationships/worksheet" Target="worksheets/sheet22.xml"/><Relationship Id="rId32" Type="http://schemas.openxmlformats.org/officeDocument/2006/relationships/worksheet" Target="worksheets/sheet30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3.xml"/><Relationship Id="rId15" Type="http://schemas.openxmlformats.org/officeDocument/2006/relationships/worksheet" Target="worksheets/sheet13.xml"/><Relationship Id="rId23" Type="http://schemas.openxmlformats.org/officeDocument/2006/relationships/worksheet" Target="worksheets/sheet21.xml"/><Relationship Id="rId28" Type="http://schemas.openxmlformats.org/officeDocument/2006/relationships/worksheet" Target="worksheets/sheet26.xml"/><Relationship Id="rId36" Type="http://schemas.openxmlformats.org/officeDocument/2006/relationships/theme" Target="theme/theme1.xml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7.xml"/><Relationship Id="rId31" Type="http://schemas.openxmlformats.org/officeDocument/2006/relationships/worksheet" Target="worksheets/sheet29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2.xml"/><Relationship Id="rId22" Type="http://schemas.openxmlformats.org/officeDocument/2006/relationships/worksheet" Target="worksheets/sheet20.xml"/><Relationship Id="rId27" Type="http://schemas.openxmlformats.org/officeDocument/2006/relationships/worksheet" Target="worksheets/sheet25.xml"/><Relationship Id="rId30" Type="http://schemas.openxmlformats.org/officeDocument/2006/relationships/worksheet" Target="worksheets/sheet28.xml"/><Relationship Id="rId35" Type="http://schemas.openxmlformats.org/officeDocument/2006/relationships/worksheet" Target="worksheets/sheet33.xml"/><Relationship Id="rId8" Type="http://schemas.openxmlformats.org/officeDocument/2006/relationships/worksheet" Target="worksheets/sheet6.xml"/><Relationship Id="rId3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35368032"/>
        <c:axId val="635364192"/>
      </c:barChart>
      <c:catAx>
        <c:axId val="6353680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5364192"/>
        <c:crosses val="autoZero"/>
        <c:auto val="1"/>
        <c:lblAlgn val="ctr"/>
        <c:lblOffset val="100"/>
        <c:noMultiLvlLbl val="0"/>
      </c:catAx>
      <c:valAx>
        <c:axId val="63536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536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0493808"/>
        <c:axId val="400487568"/>
      </c:barChart>
      <c:catAx>
        <c:axId val="4004938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0487568"/>
        <c:crosses val="autoZero"/>
        <c:auto val="1"/>
        <c:lblAlgn val="ctr"/>
        <c:lblOffset val="100"/>
        <c:noMultiLvlLbl val="0"/>
      </c:catAx>
      <c:valAx>
        <c:axId val="40048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0493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24799546987707"/>
          <c:y val="3.3162430878276826E-2"/>
          <c:w val="0.89175200453012293"/>
          <c:h val="0.6964093542361259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Começo!$E$13</c:f>
              <c:strCache>
                <c:ptCount val="1"/>
                <c:pt idx="0">
                  <c:v>Qantidade de Questões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Começo!$C$14:$D$29</c:f>
              <c:multiLvlStrCache>
                <c:ptCount val="16"/>
                <c:lvl>
                  <c:pt idx="0">
                    <c:v>3:00</c:v>
                  </c:pt>
                  <c:pt idx="1">
                    <c:v>2:30</c:v>
                  </c:pt>
                  <c:pt idx="2">
                    <c:v>1:00</c:v>
                  </c:pt>
                  <c:pt idx="3">
                    <c:v>4:30</c:v>
                  </c:pt>
                  <c:pt idx="4">
                    <c:v>6:00</c:v>
                  </c:pt>
                  <c:pt idx="5">
                    <c:v>2:00</c:v>
                  </c:pt>
                  <c:pt idx="6">
                    <c:v>1:30</c:v>
                  </c:pt>
                  <c:pt idx="7">
                    <c:v>3:00</c:v>
                  </c:pt>
                  <c:pt idx="8">
                    <c:v>2:00</c:v>
                  </c:pt>
                  <c:pt idx="9">
                    <c:v>1:00</c:v>
                  </c:pt>
                  <c:pt idx="10">
                    <c:v>2:30</c:v>
                  </c:pt>
                  <c:pt idx="11">
                    <c:v>1:00</c:v>
                  </c:pt>
                  <c:pt idx="12">
                    <c:v>3:00</c:v>
                  </c:pt>
                  <c:pt idx="13">
                    <c:v>2:00</c:v>
                  </c:pt>
                  <c:pt idx="14">
                    <c:v>1:30</c:v>
                  </c:pt>
                  <c:pt idx="15">
                    <c:v>1:00</c:v>
                  </c:pt>
                </c:lvl>
                <c:lvl>
                  <c:pt idx="0">
                    <c:v>Português</c:v>
                  </c:pt>
                  <c:pt idx="1">
                    <c:v>Matemática</c:v>
                  </c:pt>
                  <c:pt idx="2">
                    <c:v>História</c:v>
                  </c:pt>
                  <c:pt idx="3">
                    <c:v>Física</c:v>
                  </c:pt>
                  <c:pt idx="4">
                    <c:v>Quimíca</c:v>
                  </c:pt>
                  <c:pt idx="5">
                    <c:v>Legislação</c:v>
                  </c:pt>
                  <c:pt idx="6">
                    <c:v>Processo Penal</c:v>
                  </c:pt>
                  <c:pt idx="7">
                    <c:v>Direito Administrativo</c:v>
                  </c:pt>
                  <c:pt idx="8">
                    <c:v>Direito Tributário</c:v>
                  </c:pt>
                  <c:pt idx="9">
                    <c:v>Inglês</c:v>
                  </c:pt>
                  <c:pt idx="10">
                    <c:v>Análise de Sistemas</c:v>
                  </c:pt>
                  <c:pt idx="11">
                    <c:v>Direito Legislativo</c:v>
                  </c:pt>
                  <c:pt idx="12">
                    <c:v>Mecânica dos Fluídos</c:v>
                  </c:pt>
                  <c:pt idx="13">
                    <c:v>IoT</c:v>
                  </c:pt>
                  <c:pt idx="14">
                    <c:v>Astrologia</c:v>
                  </c:pt>
                  <c:pt idx="15">
                    <c:v>Colorimetria</c:v>
                  </c:pt>
                </c:lvl>
              </c:multiLvlStrCache>
            </c:multiLvlStrRef>
          </c:cat>
          <c:val>
            <c:numRef>
              <c:f>Começo!$E$14:$E$29</c:f>
              <c:numCache>
                <c:formatCode>General</c:formatCode>
                <c:ptCount val="16"/>
                <c:pt idx="0">
                  <c:v>15</c:v>
                </c:pt>
                <c:pt idx="1">
                  <c:v>25</c:v>
                </c:pt>
                <c:pt idx="2">
                  <c:v>8</c:v>
                </c:pt>
                <c:pt idx="3">
                  <c:v>11</c:v>
                </c:pt>
                <c:pt idx="4">
                  <c:v>5</c:v>
                </c:pt>
                <c:pt idx="5">
                  <c:v>12</c:v>
                </c:pt>
                <c:pt idx="6">
                  <c:v>7</c:v>
                </c:pt>
                <c:pt idx="7">
                  <c:v>13</c:v>
                </c:pt>
                <c:pt idx="8">
                  <c:v>6</c:v>
                </c:pt>
                <c:pt idx="9">
                  <c:v>8</c:v>
                </c:pt>
                <c:pt idx="10">
                  <c:v>17</c:v>
                </c:pt>
                <c:pt idx="11">
                  <c:v>14</c:v>
                </c:pt>
                <c:pt idx="12">
                  <c:v>10</c:v>
                </c:pt>
                <c:pt idx="13">
                  <c:v>13</c:v>
                </c:pt>
                <c:pt idx="14">
                  <c:v>5</c:v>
                </c:pt>
                <c:pt idx="1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94-4F62-9086-AF4514D30F4B}"/>
            </c:ext>
          </c:extLst>
        </c:ser>
        <c:ser>
          <c:idx val="1"/>
          <c:order val="1"/>
          <c:tx>
            <c:strRef>
              <c:f>Começo!$F$13</c:f>
              <c:strCache>
                <c:ptCount val="1"/>
                <c:pt idx="0">
                  <c:v>Peso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Começo!$C$14:$D$29</c:f>
              <c:multiLvlStrCache>
                <c:ptCount val="16"/>
                <c:lvl>
                  <c:pt idx="0">
                    <c:v>3:00</c:v>
                  </c:pt>
                  <c:pt idx="1">
                    <c:v>2:30</c:v>
                  </c:pt>
                  <c:pt idx="2">
                    <c:v>1:00</c:v>
                  </c:pt>
                  <c:pt idx="3">
                    <c:v>4:30</c:v>
                  </c:pt>
                  <c:pt idx="4">
                    <c:v>6:00</c:v>
                  </c:pt>
                  <c:pt idx="5">
                    <c:v>2:00</c:v>
                  </c:pt>
                  <c:pt idx="6">
                    <c:v>1:30</c:v>
                  </c:pt>
                  <c:pt idx="7">
                    <c:v>3:00</c:v>
                  </c:pt>
                  <c:pt idx="8">
                    <c:v>2:00</c:v>
                  </c:pt>
                  <c:pt idx="9">
                    <c:v>1:00</c:v>
                  </c:pt>
                  <c:pt idx="10">
                    <c:v>2:30</c:v>
                  </c:pt>
                  <c:pt idx="11">
                    <c:v>1:00</c:v>
                  </c:pt>
                  <c:pt idx="12">
                    <c:v>3:00</c:v>
                  </c:pt>
                  <c:pt idx="13">
                    <c:v>2:00</c:v>
                  </c:pt>
                  <c:pt idx="14">
                    <c:v>1:30</c:v>
                  </c:pt>
                  <c:pt idx="15">
                    <c:v>1:00</c:v>
                  </c:pt>
                </c:lvl>
                <c:lvl>
                  <c:pt idx="0">
                    <c:v>Português</c:v>
                  </c:pt>
                  <c:pt idx="1">
                    <c:v>Matemática</c:v>
                  </c:pt>
                  <c:pt idx="2">
                    <c:v>História</c:v>
                  </c:pt>
                  <c:pt idx="3">
                    <c:v>Física</c:v>
                  </c:pt>
                  <c:pt idx="4">
                    <c:v>Quimíca</c:v>
                  </c:pt>
                  <c:pt idx="5">
                    <c:v>Legislação</c:v>
                  </c:pt>
                  <c:pt idx="6">
                    <c:v>Processo Penal</c:v>
                  </c:pt>
                  <c:pt idx="7">
                    <c:v>Direito Administrativo</c:v>
                  </c:pt>
                  <c:pt idx="8">
                    <c:v>Direito Tributário</c:v>
                  </c:pt>
                  <c:pt idx="9">
                    <c:v>Inglês</c:v>
                  </c:pt>
                  <c:pt idx="10">
                    <c:v>Análise de Sistemas</c:v>
                  </c:pt>
                  <c:pt idx="11">
                    <c:v>Direito Legislativo</c:v>
                  </c:pt>
                  <c:pt idx="12">
                    <c:v>Mecânica dos Fluídos</c:v>
                  </c:pt>
                  <c:pt idx="13">
                    <c:v>IoT</c:v>
                  </c:pt>
                  <c:pt idx="14">
                    <c:v>Astrologia</c:v>
                  </c:pt>
                  <c:pt idx="15">
                    <c:v>Colorimetria</c:v>
                  </c:pt>
                </c:lvl>
              </c:multiLvlStrCache>
            </c:multiLvlStrRef>
          </c:cat>
          <c:val>
            <c:numRef>
              <c:f>Começo!$F$14:$F$29</c:f>
              <c:numCache>
                <c:formatCode>General</c:formatCode>
                <c:ptCount val="16"/>
                <c:pt idx="0">
                  <c:v>1.5</c:v>
                </c:pt>
                <c:pt idx="1">
                  <c:v>2.5</c:v>
                </c:pt>
                <c:pt idx="2">
                  <c:v>1</c:v>
                </c:pt>
                <c:pt idx="3">
                  <c:v>3</c:v>
                </c:pt>
                <c:pt idx="4">
                  <c:v>1.5</c:v>
                </c:pt>
                <c:pt idx="5">
                  <c:v>2</c:v>
                </c:pt>
                <c:pt idx="6">
                  <c:v>1.5</c:v>
                </c:pt>
                <c:pt idx="7">
                  <c:v>1.5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2.5</c:v>
                </c:pt>
                <c:pt idx="12">
                  <c:v>1.5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94-4F62-9086-AF4514D30F4B}"/>
            </c:ext>
          </c:extLst>
        </c:ser>
        <c:ser>
          <c:idx val="2"/>
          <c:order val="2"/>
          <c:tx>
            <c:strRef>
              <c:f>Começo!$G$13</c:f>
              <c:strCache>
                <c:ptCount val="1"/>
                <c:pt idx="0">
                  <c:v>Acertos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Começo!$C$14:$D$29</c:f>
              <c:multiLvlStrCache>
                <c:ptCount val="16"/>
                <c:lvl>
                  <c:pt idx="0">
                    <c:v>3:00</c:v>
                  </c:pt>
                  <c:pt idx="1">
                    <c:v>2:30</c:v>
                  </c:pt>
                  <c:pt idx="2">
                    <c:v>1:00</c:v>
                  </c:pt>
                  <c:pt idx="3">
                    <c:v>4:30</c:v>
                  </c:pt>
                  <c:pt idx="4">
                    <c:v>6:00</c:v>
                  </c:pt>
                  <c:pt idx="5">
                    <c:v>2:00</c:v>
                  </c:pt>
                  <c:pt idx="6">
                    <c:v>1:30</c:v>
                  </c:pt>
                  <c:pt idx="7">
                    <c:v>3:00</c:v>
                  </c:pt>
                  <c:pt idx="8">
                    <c:v>2:00</c:v>
                  </c:pt>
                  <c:pt idx="9">
                    <c:v>1:00</c:v>
                  </c:pt>
                  <c:pt idx="10">
                    <c:v>2:30</c:v>
                  </c:pt>
                  <c:pt idx="11">
                    <c:v>1:00</c:v>
                  </c:pt>
                  <c:pt idx="12">
                    <c:v>3:00</c:v>
                  </c:pt>
                  <c:pt idx="13">
                    <c:v>2:00</c:v>
                  </c:pt>
                  <c:pt idx="14">
                    <c:v>1:30</c:v>
                  </c:pt>
                  <c:pt idx="15">
                    <c:v>1:00</c:v>
                  </c:pt>
                </c:lvl>
                <c:lvl>
                  <c:pt idx="0">
                    <c:v>Português</c:v>
                  </c:pt>
                  <c:pt idx="1">
                    <c:v>Matemática</c:v>
                  </c:pt>
                  <c:pt idx="2">
                    <c:v>História</c:v>
                  </c:pt>
                  <c:pt idx="3">
                    <c:v>Física</c:v>
                  </c:pt>
                  <c:pt idx="4">
                    <c:v>Quimíca</c:v>
                  </c:pt>
                  <c:pt idx="5">
                    <c:v>Legislação</c:v>
                  </c:pt>
                  <c:pt idx="6">
                    <c:v>Processo Penal</c:v>
                  </c:pt>
                  <c:pt idx="7">
                    <c:v>Direito Administrativo</c:v>
                  </c:pt>
                  <c:pt idx="8">
                    <c:v>Direito Tributário</c:v>
                  </c:pt>
                  <c:pt idx="9">
                    <c:v>Inglês</c:v>
                  </c:pt>
                  <c:pt idx="10">
                    <c:v>Análise de Sistemas</c:v>
                  </c:pt>
                  <c:pt idx="11">
                    <c:v>Direito Legislativo</c:v>
                  </c:pt>
                  <c:pt idx="12">
                    <c:v>Mecânica dos Fluídos</c:v>
                  </c:pt>
                  <c:pt idx="13">
                    <c:v>IoT</c:v>
                  </c:pt>
                  <c:pt idx="14">
                    <c:v>Astrologia</c:v>
                  </c:pt>
                  <c:pt idx="15">
                    <c:v>Colorimetria</c:v>
                  </c:pt>
                </c:lvl>
              </c:multiLvlStrCache>
            </c:multiLvlStrRef>
          </c:cat>
          <c:val>
            <c:numRef>
              <c:f>Começo!$G$14:$G$29</c:f>
              <c:numCache>
                <c:formatCode>General</c:formatCode>
                <c:ptCount val="16"/>
                <c:pt idx="0">
                  <c:v>9</c:v>
                </c:pt>
                <c:pt idx="1">
                  <c:v>16</c:v>
                </c:pt>
                <c:pt idx="2">
                  <c:v>7</c:v>
                </c:pt>
                <c:pt idx="3">
                  <c:v>9</c:v>
                </c:pt>
                <c:pt idx="4">
                  <c:v>3</c:v>
                </c:pt>
                <c:pt idx="5">
                  <c:v>11</c:v>
                </c:pt>
                <c:pt idx="6">
                  <c:v>6</c:v>
                </c:pt>
                <c:pt idx="7">
                  <c:v>12</c:v>
                </c:pt>
                <c:pt idx="8">
                  <c:v>5</c:v>
                </c:pt>
                <c:pt idx="9">
                  <c:v>8</c:v>
                </c:pt>
                <c:pt idx="10">
                  <c:v>14</c:v>
                </c:pt>
                <c:pt idx="11">
                  <c:v>13</c:v>
                </c:pt>
                <c:pt idx="12">
                  <c:v>5</c:v>
                </c:pt>
                <c:pt idx="13">
                  <c:v>13</c:v>
                </c:pt>
                <c:pt idx="14">
                  <c:v>5</c:v>
                </c:pt>
                <c:pt idx="1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94-4F62-9086-AF4514D30F4B}"/>
            </c:ext>
          </c:extLst>
        </c:ser>
        <c:ser>
          <c:idx val="3"/>
          <c:order val="3"/>
          <c:tx>
            <c:strRef>
              <c:f>Começo!$H$13</c:f>
              <c:strCache>
                <c:ptCount val="1"/>
                <c:pt idx="0">
                  <c:v>Nivel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Começo!$C$14:$D$29</c:f>
              <c:multiLvlStrCache>
                <c:ptCount val="16"/>
                <c:lvl>
                  <c:pt idx="0">
                    <c:v>3:00</c:v>
                  </c:pt>
                  <c:pt idx="1">
                    <c:v>2:30</c:v>
                  </c:pt>
                  <c:pt idx="2">
                    <c:v>1:00</c:v>
                  </c:pt>
                  <c:pt idx="3">
                    <c:v>4:30</c:v>
                  </c:pt>
                  <c:pt idx="4">
                    <c:v>6:00</c:v>
                  </c:pt>
                  <c:pt idx="5">
                    <c:v>2:00</c:v>
                  </c:pt>
                  <c:pt idx="6">
                    <c:v>1:30</c:v>
                  </c:pt>
                  <c:pt idx="7">
                    <c:v>3:00</c:v>
                  </c:pt>
                  <c:pt idx="8">
                    <c:v>2:00</c:v>
                  </c:pt>
                  <c:pt idx="9">
                    <c:v>1:00</c:v>
                  </c:pt>
                  <c:pt idx="10">
                    <c:v>2:30</c:v>
                  </c:pt>
                  <c:pt idx="11">
                    <c:v>1:00</c:v>
                  </c:pt>
                  <c:pt idx="12">
                    <c:v>3:00</c:v>
                  </c:pt>
                  <c:pt idx="13">
                    <c:v>2:00</c:v>
                  </c:pt>
                  <c:pt idx="14">
                    <c:v>1:30</c:v>
                  </c:pt>
                  <c:pt idx="15">
                    <c:v>1:00</c:v>
                  </c:pt>
                </c:lvl>
                <c:lvl>
                  <c:pt idx="0">
                    <c:v>Português</c:v>
                  </c:pt>
                  <c:pt idx="1">
                    <c:v>Matemática</c:v>
                  </c:pt>
                  <c:pt idx="2">
                    <c:v>História</c:v>
                  </c:pt>
                  <c:pt idx="3">
                    <c:v>Física</c:v>
                  </c:pt>
                  <c:pt idx="4">
                    <c:v>Quimíca</c:v>
                  </c:pt>
                  <c:pt idx="5">
                    <c:v>Legislação</c:v>
                  </c:pt>
                  <c:pt idx="6">
                    <c:v>Processo Penal</c:v>
                  </c:pt>
                  <c:pt idx="7">
                    <c:v>Direito Administrativo</c:v>
                  </c:pt>
                  <c:pt idx="8">
                    <c:v>Direito Tributário</c:v>
                  </c:pt>
                  <c:pt idx="9">
                    <c:v>Inglês</c:v>
                  </c:pt>
                  <c:pt idx="10">
                    <c:v>Análise de Sistemas</c:v>
                  </c:pt>
                  <c:pt idx="11">
                    <c:v>Direito Legislativo</c:v>
                  </c:pt>
                  <c:pt idx="12">
                    <c:v>Mecânica dos Fluídos</c:v>
                  </c:pt>
                  <c:pt idx="13">
                    <c:v>IoT</c:v>
                  </c:pt>
                  <c:pt idx="14">
                    <c:v>Astrologia</c:v>
                  </c:pt>
                  <c:pt idx="15">
                    <c:v>Colorimetria</c:v>
                  </c:pt>
                </c:lvl>
              </c:multiLvlStrCache>
            </c:multiLvlStrRef>
          </c:cat>
          <c:val>
            <c:numRef>
              <c:f>Começo!$H$14:$H$29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094-4F62-9086-AF4514D30F4B}"/>
            </c:ext>
          </c:extLst>
        </c:ser>
        <c:ser>
          <c:idx val="4"/>
          <c:order val="4"/>
          <c:tx>
            <c:strRef>
              <c:f>Começo!$I$13</c:f>
              <c:strCache>
                <c:ptCount val="1"/>
                <c:pt idx="0">
                  <c:v>Pontos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Começo!$C$14:$D$29</c:f>
              <c:multiLvlStrCache>
                <c:ptCount val="16"/>
                <c:lvl>
                  <c:pt idx="0">
                    <c:v>3:00</c:v>
                  </c:pt>
                  <c:pt idx="1">
                    <c:v>2:30</c:v>
                  </c:pt>
                  <c:pt idx="2">
                    <c:v>1:00</c:v>
                  </c:pt>
                  <c:pt idx="3">
                    <c:v>4:30</c:v>
                  </c:pt>
                  <c:pt idx="4">
                    <c:v>6:00</c:v>
                  </c:pt>
                  <c:pt idx="5">
                    <c:v>2:00</c:v>
                  </c:pt>
                  <c:pt idx="6">
                    <c:v>1:30</c:v>
                  </c:pt>
                  <c:pt idx="7">
                    <c:v>3:00</c:v>
                  </c:pt>
                  <c:pt idx="8">
                    <c:v>2:00</c:v>
                  </c:pt>
                  <c:pt idx="9">
                    <c:v>1:00</c:v>
                  </c:pt>
                  <c:pt idx="10">
                    <c:v>2:30</c:v>
                  </c:pt>
                  <c:pt idx="11">
                    <c:v>1:00</c:v>
                  </c:pt>
                  <c:pt idx="12">
                    <c:v>3:00</c:v>
                  </c:pt>
                  <c:pt idx="13">
                    <c:v>2:00</c:v>
                  </c:pt>
                  <c:pt idx="14">
                    <c:v>1:30</c:v>
                  </c:pt>
                  <c:pt idx="15">
                    <c:v>1:00</c:v>
                  </c:pt>
                </c:lvl>
                <c:lvl>
                  <c:pt idx="0">
                    <c:v>Português</c:v>
                  </c:pt>
                  <c:pt idx="1">
                    <c:v>Matemática</c:v>
                  </c:pt>
                  <c:pt idx="2">
                    <c:v>História</c:v>
                  </c:pt>
                  <c:pt idx="3">
                    <c:v>Física</c:v>
                  </c:pt>
                  <c:pt idx="4">
                    <c:v>Quimíca</c:v>
                  </c:pt>
                  <c:pt idx="5">
                    <c:v>Legislação</c:v>
                  </c:pt>
                  <c:pt idx="6">
                    <c:v>Processo Penal</c:v>
                  </c:pt>
                  <c:pt idx="7">
                    <c:v>Direito Administrativo</c:v>
                  </c:pt>
                  <c:pt idx="8">
                    <c:v>Direito Tributário</c:v>
                  </c:pt>
                  <c:pt idx="9">
                    <c:v>Inglês</c:v>
                  </c:pt>
                  <c:pt idx="10">
                    <c:v>Análise de Sistemas</c:v>
                  </c:pt>
                  <c:pt idx="11">
                    <c:v>Direito Legislativo</c:v>
                  </c:pt>
                  <c:pt idx="12">
                    <c:v>Mecânica dos Fluídos</c:v>
                  </c:pt>
                  <c:pt idx="13">
                    <c:v>IoT</c:v>
                  </c:pt>
                  <c:pt idx="14">
                    <c:v>Astrologia</c:v>
                  </c:pt>
                  <c:pt idx="15">
                    <c:v>Colorimetria</c:v>
                  </c:pt>
                </c:lvl>
              </c:multiLvlStrCache>
            </c:multiLvlStrRef>
          </c:cat>
          <c:val>
            <c:numRef>
              <c:f>Começo!$I$14:$I$29</c:f>
              <c:numCache>
                <c:formatCode>0.0</c:formatCode>
                <c:ptCount val="16"/>
                <c:pt idx="0">
                  <c:v>0.9</c:v>
                </c:pt>
                <c:pt idx="1">
                  <c:v>1.6</c:v>
                </c:pt>
                <c:pt idx="2">
                  <c:v>0.875</c:v>
                </c:pt>
                <c:pt idx="3">
                  <c:v>2.4545454545454546</c:v>
                </c:pt>
                <c:pt idx="4">
                  <c:v>0.9</c:v>
                </c:pt>
                <c:pt idx="5">
                  <c:v>1.8333333333333333</c:v>
                </c:pt>
                <c:pt idx="6">
                  <c:v>1.2857142857142858</c:v>
                </c:pt>
                <c:pt idx="7">
                  <c:v>1.3846153846153846</c:v>
                </c:pt>
                <c:pt idx="8">
                  <c:v>0.83333333333333337</c:v>
                </c:pt>
                <c:pt idx="9">
                  <c:v>1</c:v>
                </c:pt>
                <c:pt idx="10">
                  <c:v>1.6470588235294117</c:v>
                </c:pt>
                <c:pt idx="11">
                  <c:v>2.3214285714285716</c:v>
                </c:pt>
                <c:pt idx="12">
                  <c:v>0.75</c:v>
                </c:pt>
                <c:pt idx="13">
                  <c:v>1</c:v>
                </c:pt>
                <c:pt idx="14">
                  <c:v>1</c:v>
                </c:pt>
                <c:pt idx="15">
                  <c:v>0.66666666666666663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094-4F62-9086-AF4514D30F4B}"/>
            </c:ext>
          </c:extLst>
        </c:ser>
        <c:ser>
          <c:idx val="5"/>
          <c:order val="5"/>
          <c:tx>
            <c:strRef>
              <c:f>Começo!$J$13</c:f>
              <c:strCache>
                <c:ptCount val="1"/>
                <c:pt idx="0">
                  <c:v>Horas Sugeridas á +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Começo!$C$14:$D$29</c:f>
              <c:multiLvlStrCache>
                <c:ptCount val="16"/>
                <c:lvl>
                  <c:pt idx="0">
                    <c:v>3:00</c:v>
                  </c:pt>
                  <c:pt idx="1">
                    <c:v>2:30</c:v>
                  </c:pt>
                  <c:pt idx="2">
                    <c:v>1:00</c:v>
                  </c:pt>
                  <c:pt idx="3">
                    <c:v>4:30</c:v>
                  </c:pt>
                  <c:pt idx="4">
                    <c:v>6:00</c:v>
                  </c:pt>
                  <c:pt idx="5">
                    <c:v>2:00</c:v>
                  </c:pt>
                  <c:pt idx="6">
                    <c:v>1:30</c:v>
                  </c:pt>
                  <c:pt idx="7">
                    <c:v>3:00</c:v>
                  </c:pt>
                  <c:pt idx="8">
                    <c:v>2:00</c:v>
                  </c:pt>
                  <c:pt idx="9">
                    <c:v>1:00</c:v>
                  </c:pt>
                  <c:pt idx="10">
                    <c:v>2:30</c:v>
                  </c:pt>
                  <c:pt idx="11">
                    <c:v>1:00</c:v>
                  </c:pt>
                  <c:pt idx="12">
                    <c:v>3:00</c:v>
                  </c:pt>
                  <c:pt idx="13">
                    <c:v>2:00</c:v>
                  </c:pt>
                  <c:pt idx="14">
                    <c:v>1:30</c:v>
                  </c:pt>
                  <c:pt idx="15">
                    <c:v>1:00</c:v>
                  </c:pt>
                </c:lvl>
                <c:lvl>
                  <c:pt idx="0">
                    <c:v>Português</c:v>
                  </c:pt>
                  <c:pt idx="1">
                    <c:v>Matemática</c:v>
                  </c:pt>
                  <c:pt idx="2">
                    <c:v>História</c:v>
                  </c:pt>
                  <c:pt idx="3">
                    <c:v>Física</c:v>
                  </c:pt>
                  <c:pt idx="4">
                    <c:v>Quimíca</c:v>
                  </c:pt>
                  <c:pt idx="5">
                    <c:v>Legislação</c:v>
                  </c:pt>
                  <c:pt idx="6">
                    <c:v>Processo Penal</c:v>
                  </c:pt>
                  <c:pt idx="7">
                    <c:v>Direito Administrativo</c:v>
                  </c:pt>
                  <c:pt idx="8">
                    <c:v>Direito Tributário</c:v>
                  </c:pt>
                  <c:pt idx="9">
                    <c:v>Inglês</c:v>
                  </c:pt>
                  <c:pt idx="10">
                    <c:v>Análise de Sistemas</c:v>
                  </c:pt>
                  <c:pt idx="11">
                    <c:v>Direito Legislativo</c:v>
                  </c:pt>
                  <c:pt idx="12">
                    <c:v>Mecânica dos Fluídos</c:v>
                  </c:pt>
                  <c:pt idx="13">
                    <c:v>IoT</c:v>
                  </c:pt>
                  <c:pt idx="14">
                    <c:v>Astrologia</c:v>
                  </c:pt>
                  <c:pt idx="15">
                    <c:v>Colorimetria</c:v>
                  </c:pt>
                </c:lvl>
              </c:multiLvlStrCache>
            </c:multiLvlStrRef>
          </c:cat>
          <c:val>
            <c:numRef>
              <c:f>Começo!$J$14:$J$29</c:f>
              <c:numCache>
                <c:formatCode>[h]:mm:ss;@</c:formatCode>
                <c:ptCount val="16"/>
                <c:pt idx="0">
                  <c:v>1.0416666666666667E-3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2.0833333333333333E-3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1.0416666666666667E-3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094-4F62-9086-AF4514D30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6039688"/>
        <c:axId val="306041000"/>
        <c:extLst>
          <c:ext xmlns:c15="http://schemas.microsoft.com/office/drawing/2012/chart" uri="{02D57815-91ED-43cb-92C2-25804820EDAC}">
            <c15:filteredBa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Começo!$K$13</c15:sqref>
                        </c15:formulaRef>
                      </c:ext>
                    </c:extLst>
                    <c:strCache>
                      <c:ptCount val="1"/>
                      <c:pt idx="0">
                        <c:v>Domínio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multiLvlStrRef>
                    <c:extLst>
                      <c:ext uri="{02D57815-91ED-43cb-92C2-25804820EDAC}">
                        <c15:formulaRef>
                          <c15:sqref>Começo!$C$14:$D$29</c15:sqref>
                        </c15:formulaRef>
                      </c:ext>
                    </c:extLst>
                    <c:multiLvlStrCache>
                      <c:ptCount val="16"/>
                      <c:lvl>
                        <c:pt idx="0">
                          <c:v>3:00</c:v>
                        </c:pt>
                        <c:pt idx="1">
                          <c:v>2:30</c:v>
                        </c:pt>
                        <c:pt idx="2">
                          <c:v>1:00</c:v>
                        </c:pt>
                        <c:pt idx="3">
                          <c:v>4:30</c:v>
                        </c:pt>
                        <c:pt idx="4">
                          <c:v>6:00</c:v>
                        </c:pt>
                        <c:pt idx="5">
                          <c:v>2:00</c:v>
                        </c:pt>
                        <c:pt idx="6">
                          <c:v>1:30</c:v>
                        </c:pt>
                        <c:pt idx="7">
                          <c:v>3:00</c:v>
                        </c:pt>
                        <c:pt idx="8">
                          <c:v>2:00</c:v>
                        </c:pt>
                        <c:pt idx="9">
                          <c:v>1:00</c:v>
                        </c:pt>
                        <c:pt idx="10">
                          <c:v>2:30</c:v>
                        </c:pt>
                        <c:pt idx="11">
                          <c:v>1:00</c:v>
                        </c:pt>
                        <c:pt idx="12">
                          <c:v>3:00</c:v>
                        </c:pt>
                        <c:pt idx="13">
                          <c:v>2:00</c:v>
                        </c:pt>
                        <c:pt idx="14">
                          <c:v>1:30</c:v>
                        </c:pt>
                        <c:pt idx="15">
                          <c:v>1:00</c:v>
                        </c:pt>
                      </c:lvl>
                      <c:lvl>
                        <c:pt idx="0">
                          <c:v>Português</c:v>
                        </c:pt>
                        <c:pt idx="1">
                          <c:v>Matemática</c:v>
                        </c:pt>
                        <c:pt idx="2">
                          <c:v>História</c:v>
                        </c:pt>
                        <c:pt idx="3">
                          <c:v>Física</c:v>
                        </c:pt>
                        <c:pt idx="4">
                          <c:v>Quimíca</c:v>
                        </c:pt>
                        <c:pt idx="5">
                          <c:v>Legislação</c:v>
                        </c:pt>
                        <c:pt idx="6">
                          <c:v>Processo Penal</c:v>
                        </c:pt>
                        <c:pt idx="7">
                          <c:v>Direito Administrativo</c:v>
                        </c:pt>
                        <c:pt idx="8">
                          <c:v>Direito Tributário</c:v>
                        </c:pt>
                        <c:pt idx="9">
                          <c:v>Inglês</c:v>
                        </c:pt>
                        <c:pt idx="10">
                          <c:v>Análise de Sistemas</c:v>
                        </c:pt>
                        <c:pt idx="11">
                          <c:v>Direito Legislativo</c:v>
                        </c:pt>
                        <c:pt idx="12">
                          <c:v>Mecânica dos Fluídos</c:v>
                        </c:pt>
                        <c:pt idx="13">
                          <c:v>IoT</c:v>
                        </c:pt>
                        <c:pt idx="14">
                          <c:v>Astrologia</c:v>
                        </c:pt>
                        <c:pt idx="15">
                          <c:v>Colorimetria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Começo!$K$14:$K$29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8-9094-4F62-9086-AF4514D30F4B}"/>
                  </c:ext>
                </c:extLst>
              </c15:ser>
            </c15:filteredBarSeries>
          </c:ext>
        </c:extLst>
      </c:barChart>
      <c:catAx>
        <c:axId val="3060396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06041000"/>
        <c:crosses val="autoZero"/>
        <c:auto val="1"/>
        <c:lblAlgn val="ctr"/>
        <c:lblOffset val="100"/>
        <c:noMultiLvlLbl val="0"/>
      </c:catAx>
      <c:valAx>
        <c:axId val="306041000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6039688"/>
        <c:crosses val="autoZero"/>
        <c:crossBetween val="between"/>
      </c:valAx>
      <c:dTable>
        <c:showHorzBorder val="0"/>
        <c:showVertBorder val="0"/>
        <c:showOutline val="0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50" b="0" i="0" u="none" strike="noStrike" kern="1200" baseline="0">
                <a:blipFill dpi="0" rotWithShape="1">
                  <a:blip xmlns:r="http://schemas.openxmlformats.org/officeDocument/2006/relationships" r:embed="rId3"/>
                  <a:srcRect/>
                  <a:tile tx="25400" ty="0" sx="100000" sy="100000" flip="none" algn="tl"/>
                </a:blip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bg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Iniciando</a:t>
            </a:r>
            <a:r>
              <a:rPr lang="pt-BR" baseline="0"/>
              <a:t> nos Estudos</a:t>
            </a:r>
          </a:p>
          <a:p>
            <a:pPr>
              <a:defRPr/>
            </a:pP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2464715112467085E-2"/>
          <c:y val="0.1039170121464122"/>
          <c:w val="0.91753528488753289"/>
          <c:h val="0.36015449005882327"/>
        </c:manualLayout>
      </c:layout>
      <c:lineChart>
        <c:grouping val="standard"/>
        <c:varyColors val="0"/>
        <c:ser>
          <c:idx val="0"/>
          <c:order val="0"/>
          <c:tx>
            <c:strRef>
              <c:f>Começo!$C$14</c:f>
              <c:strCache>
                <c:ptCount val="1"/>
                <c:pt idx="0">
                  <c:v>Português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Começo!$E$13:$K$13</c:f>
              <c:strCache>
                <c:ptCount val="7"/>
                <c:pt idx="0">
                  <c:v>Qantidade de Questões</c:v>
                </c:pt>
                <c:pt idx="1">
                  <c:v>Peso</c:v>
                </c:pt>
                <c:pt idx="2">
                  <c:v>Acertos</c:v>
                </c:pt>
                <c:pt idx="3">
                  <c:v>Nivel</c:v>
                </c:pt>
                <c:pt idx="4">
                  <c:v>Pontos</c:v>
                </c:pt>
                <c:pt idx="5">
                  <c:v>Horas Sugeridas á +</c:v>
                </c:pt>
                <c:pt idx="6">
                  <c:v>Domínio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Começo!$D$14:$K$14</c15:sqref>
                  </c15:fullRef>
                </c:ext>
              </c:extLst>
              <c:f>Começo!$E$14:$K$14</c:f>
              <c:numCache>
                <c:formatCode>General</c:formatCode>
                <c:ptCount val="7"/>
                <c:pt idx="0">
                  <c:v>15</c:v>
                </c:pt>
                <c:pt idx="1">
                  <c:v>1.5</c:v>
                </c:pt>
                <c:pt idx="2">
                  <c:v>9</c:v>
                </c:pt>
                <c:pt idx="3">
                  <c:v>0</c:v>
                </c:pt>
                <c:pt idx="4" formatCode="0.0">
                  <c:v>0.9</c:v>
                </c:pt>
                <c:pt idx="5" formatCode="[h]:mm:ss;@">
                  <c:v>1.0416666666666667E-3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ECA-4F16-B80B-0D7B2297F5BD}"/>
            </c:ext>
          </c:extLst>
        </c:ser>
        <c:ser>
          <c:idx val="1"/>
          <c:order val="1"/>
          <c:tx>
            <c:strRef>
              <c:f>Começo!$C$15</c:f>
              <c:strCache>
                <c:ptCount val="1"/>
                <c:pt idx="0">
                  <c:v>Matemática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Começo!$E$13:$K$13</c:f>
              <c:strCache>
                <c:ptCount val="7"/>
                <c:pt idx="0">
                  <c:v>Qantidade de Questões</c:v>
                </c:pt>
                <c:pt idx="1">
                  <c:v>Peso</c:v>
                </c:pt>
                <c:pt idx="2">
                  <c:v>Acertos</c:v>
                </c:pt>
                <c:pt idx="3">
                  <c:v>Nivel</c:v>
                </c:pt>
                <c:pt idx="4">
                  <c:v>Pontos</c:v>
                </c:pt>
                <c:pt idx="5">
                  <c:v>Horas Sugeridas á +</c:v>
                </c:pt>
                <c:pt idx="6">
                  <c:v>Domínio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Começo!$D$15:$K$15</c15:sqref>
                  </c15:fullRef>
                </c:ext>
              </c:extLst>
              <c:f>Começo!$E$15:$K$15</c:f>
              <c:numCache>
                <c:formatCode>General</c:formatCode>
                <c:ptCount val="7"/>
                <c:pt idx="0">
                  <c:v>25</c:v>
                </c:pt>
                <c:pt idx="1">
                  <c:v>2.5</c:v>
                </c:pt>
                <c:pt idx="2">
                  <c:v>16</c:v>
                </c:pt>
                <c:pt idx="3">
                  <c:v>0</c:v>
                </c:pt>
                <c:pt idx="4" formatCode="0.0">
                  <c:v>1.6</c:v>
                </c:pt>
                <c:pt idx="5" formatCode="[h]:mm:ss;@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ECA-4F16-B80B-0D7B2297F5BD}"/>
            </c:ext>
          </c:extLst>
        </c:ser>
        <c:ser>
          <c:idx val="2"/>
          <c:order val="2"/>
          <c:tx>
            <c:strRef>
              <c:f>Começo!$C$16</c:f>
              <c:strCache>
                <c:ptCount val="1"/>
                <c:pt idx="0">
                  <c:v>História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Começo!$E$13:$K$13</c:f>
              <c:strCache>
                <c:ptCount val="7"/>
                <c:pt idx="0">
                  <c:v>Qantidade de Questões</c:v>
                </c:pt>
                <c:pt idx="1">
                  <c:v>Peso</c:v>
                </c:pt>
                <c:pt idx="2">
                  <c:v>Acertos</c:v>
                </c:pt>
                <c:pt idx="3">
                  <c:v>Nivel</c:v>
                </c:pt>
                <c:pt idx="4">
                  <c:v>Pontos</c:v>
                </c:pt>
                <c:pt idx="5">
                  <c:v>Horas Sugeridas á +</c:v>
                </c:pt>
                <c:pt idx="6">
                  <c:v>Domínio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Começo!$D$16:$K$16</c15:sqref>
                  </c15:fullRef>
                </c:ext>
              </c:extLst>
              <c:f>Começo!$E$16:$K$16</c:f>
              <c:numCache>
                <c:formatCode>General</c:formatCode>
                <c:ptCount val="7"/>
                <c:pt idx="0">
                  <c:v>8</c:v>
                </c:pt>
                <c:pt idx="1">
                  <c:v>1</c:v>
                </c:pt>
                <c:pt idx="2">
                  <c:v>7</c:v>
                </c:pt>
                <c:pt idx="3">
                  <c:v>0</c:v>
                </c:pt>
                <c:pt idx="4" formatCode="0.0">
                  <c:v>0.875</c:v>
                </c:pt>
                <c:pt idx="5" formatCode="[h]:mm:ss;@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ECA-4F16-B80B-0D7B2297F5BD}"/>
            </c:ext>
          </c:extLst>
        </c:ser>
        <c:ser>
          <c:idx val="3"/>
          <c:order val="3"/>
          <c:tx>
            <c:strRef>
              <c:f>Começo!$C$17</c:f>
              <c:strCache>
                <c:ptCount val="1"/>
                <c:pt idx="0">
                  <c:v>Física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Começo!$E$13:$K$13</c:f>
              <c:strCache>
                <c:ptCount val="7"/>
                <c:pt idx="0">
                  <c:v>Qantidade de Questões</c:v>
                </c:pt>
                <c:pt idx="1">
                  <c:v>Peso</c:v>
                </c:pt>
                <c:pt idx="2">
                  <c:v>Acertos</c:v>
                </c:pt>
                <c:pt idx="3">
                  <c:v>Nivel</c:v>
                </c:pt>
                <c:pt idx="4">
                  <c:v>Pontos</c:v>
                </c:pt>
                <c:pt idx="5">
                  <c:v>Horas Sugeridas á +</c:v>
                </c:pt>
                <c:pt idx="6">
                  <c:v>Domínio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Começo!$D$17:$K$17</c15:sqref>
                  </c15:fullRef>
                </c:ext>
              </c:extLst>
              <c:f>Começo!$E$17:$K$17</c:f>
              <c:numCache>
                <c:formatCode>General</c:formatCode>
                <c:ptCount val="7"/>
                <c:pt idx="0">
                  <c:v>11</c:v>
                </c:pt>
                <c:pt idx="1">
                  <c:v>3</c:v>
                </c:pt>
                <c:pt idx="2">
                  <c:v>9</c:v>
                </c:pt>
                <c:pt idx="3">
                  <c:v>0</c:v>
                </c:pt>
                <c:pt idx="4" formatCode="0.0">
                  <c:v>2.4545454545454546</c:v>
                </c:pt>
                <c:pt idx="5" formatCode="[h]:mm:ss;@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ECA-4F16-B80B-0D7B2297F5BD}"/>
            </c:ext>
          </c:extLst>
        </c:ser>
        <c:ser>
          <c:idx val="4"/>
          <c:order val="4"/>
          <c:tx>
            <c:strRef>
              <c:f>Começo!$C$18</c:f>
              <c:strCache>
                <c:ptCount val="1"/>
                <c:pt idx="0">
                  <c:v>Quimíca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Começo!$E$13:$K$13</c:f>
              <c:strCache>
                <c:ptCount val="7"/>
                <c:pt idx="0">
                  <c:v>Qantidade de Questões</c:v>
                </c:pt>
                <c:pt idx="1">
                  <c:v>Peso</c:v>
                </c:pt>
                <c:pt idx="2">
                  <c:v>Acertos</c:v>
                </c:pt>
                <c:pt idx="3">
                  <c:v>Nivel</c:v>
                </c:pt>
                <c:pt idx="4">
                  <c:v>Pontos</c:v>
                </c:pt>
                <c:pt idx="5">
                  <c:v>Horas Sugeridas á +</c:v>
                </c:pt>
                <c:pt idx="6">
                  <c:v>Domínio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Começo!$D$18:$K$18</c15:sqref>
                  </c15:fullRef>
                </c:ext>
              </c:extLst>
              <c:f>Começo!$E$18:$K$18</c:f>
              <c:numCache>
                <c:formatCode>General</c:formatCode>
                <c:ptCount val="7"/>
                <c:pt idx="0">
                  <c:v>5</c:v>
                </c:pt>
                <c:pt idx="1">
                  <c:v>1.5</c:v>
                </c:pt>
                <c:pt idx="2">
                  <c:v>3</c:v>
                </c:pt>
                <c:pt idx="3">
                  <c:v>0</c:v>
                </c:pt>
                <c:pt idx="4" formatCode="0.0">
                  <c:v>0.9</c:v>
                </c:pt>
                <c:pt idx="5" formatCode="[h]:mm:ss;@">
                  <c:v>2.0833333333333333E-3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ECA-4F16-B80B-0D7B2297F5BD}"/>
            </c:ext>
          </c:extLst>
        </c:ser>
        <c:ser>
          <c:idx val="5"/>
          <c:order val="5"/>
          <c:tx>
            <c:strRef>
              <c:f>Começo!$C$19</c:f>
              <c:strCache>
                <c:ptCount val="1"/>
                <c:pt idx="0">
                  <c:v>Legislação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Começo!$E$13:$K$13</c:f>
              <c:strCache>
                <c:ptCount val="7"/>
                <c:pt idx="0">
                  <c:v>Qantidade de Questões</c:v>
                </c:pt>
                <c:pt idx="1">
                  <c:v>Peso</c:v>
                </c:pt>
                <c:pt idx="2">
                  <c:v>Acertos</c:v>
                </c:pt>
                <c:pt idx="3">
                  <c:v>Nivel</c:v>
                </c:pt>
                <c:pt idx="4">
                  <c:v>Pontos</c:v>
                </c:pt>
                <c:pt idx="5">
                  <c:v>Horas Sugeridas á +</c:v>
                </c:pt>
                <c:pt idx="6">
                  <c:v>Domínio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Começo!$D$19:$K$19</c15:sqref>
                  </c15:fullRef>
                </c:ext>
              </c:extLst>
              <c:f>Começo!$E$19:$K$19</c:f>
              <c:numCache>
                <c:formatCode>General</c:formatCode>
                <c:ptCount val="7"/>
                <c:pt idx="0">
                  <c:v>12</c:v>
                </c:pt>
                <c:pt idx="1">
                  <c:v>2</c:v>
                </c:pt>
                <c:pt idx="2">
                  <c:v>11</c:v>
                </c:pt>
                <c:pt idx="3">
                  <c:v>0</c:v>
                </c:pt>
                <c:pt idx="4" formatCode="0.0">
                  <c:v>1.8333333333333333</c:v>
                </c:pt>
                <c:pt idx="5" formatCode="[h]:mm:ss;@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ECA-4F16-B80B-0D7B2297F5BD}"/>
            </c:ext>
          </c:extLst>
        </c:ser>
        <c:ser>
          <c:idx val="6"/>
          <c:order val="6"/>
          <c:tx>
            <c:strRef>
              <c:f>Começo!$C$20</c:f>
              <c:strCache>
                <c:ptCount val="1"/>
                <c:pt idx="0">
                  <c:v>Processo Penal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Começo!$E$13:$K$13</c:f>
              <c:strCache>
                <c:ptCount val="7"/>
                <c:pt idx="0">
                  <c:v>Qantidade de Questões</c:v>
                </c:pt>
                <c:pt idx="1">
                  <c:v>Peso</c:v>
                </c:pt>
                <c:pt idx="2">
                  <c:v>Acertos</c:v>
                </c:pt>
                <c:pt idx="3">
                  <c:v>Nivel</c:v>
                </c:pt>
                <c:pt idx="4">
                  <c:v>Pontos</c:v>
                </c:pt>
                <c:pt idx="5">
                  <c:v>Horas Sugeridas á +</c:v>
                </c:pt>
                <c:pt idx="6">
                  <c:v>Domínio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Começo!$D$20:$K$20</c15:sqref>
                  </c15:fullRef>
                </c:ext>
              </c:extLst>
              <c:f>Começo!$E$20:$K$20</c:f>
              <c:numCache>
                <c:formatCode>General</c:formatCode>
                <c:ptCount val="7"/>
                <c:pt idx="0">
                  <c:v>7</c:v>
                </c:pt>
                <c:pt idx="1">
                  <c:v>1.5</c:v>
                </c:pt>
                <c:pt idx="2">
                  <c:v>6</c:v>
                </c:pt>
                <c:pt idx="3">
                  <c:v>0</c:v>
                </c:pt>
                <c:pt idx="4" formatCode="0.0">
                  <c:v>1.2857142857142858</c:v>
                </c:pt>
                <c:pt idx="5" formatCode="[h]:mm:ss;@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ECA-4F16-B80B-0D7B2297F5BD}"/>
            </c:ext>
          </c:extLst>
        </c:ser>
        <c:ser>
          <c:idx val="7"/>
          <c:order val="7"/>
          <c:tx>
            <c:strRef>
              <c:f>Começo!$C$21</c:f>
              <c:strCache>
                <c:ptCount val="1"/>
                <c:pt idx="0">
                  <c:v>Direito Administrativo</c:v>
                </c:pt>
              </c:strCache>
            </c:strRef>
          </c:tx>
          <c:spPr>
            <a:ln w="349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Começo!$E$13:$K$13</c:f>
              <c:strCache>
                <c:ptCount val="7"/>
                <c:pt idx="0">
                  <c:v>Qantidade de Questões</c:v>
                </c:pt>
                <c:pt idx="1">
                  <c:v>Peso</c:v>
                </c:pt>
                <c:pt idx="2">
                  <c:v>Acertos</c:v>
                </c:pt>
                <c:pt idx="3">
                  <c:v>Nivel</c:v>
                </c:pt>
                <c:pt idx="4">
                  <c:v>Pontos</c:v>
                </c:pt>
                <c:pt idx="5">
                  <c:v>Horas Sugeridas á +</c:v>
                </c:pt>
                <c:pt idx="6">
                  <c:v>Domínio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Começo!$D$21:$K$21</c15:sqref>
                  </c15:fullRef>
                </c:ext>
              </c:extLst>
              <c:f>Começo!$E$21:$K$21</c:f>
              <c:numCache>
                <c:formatCode>General</c:formatCode>
                <c:ptCount val="7"/>
                <c:pt idx="0">
                  <c:v>13</c:v>
                </c:pt>
                <c:pt idx="1">
                  <c:v>1.5</c:v>
                </c:pt>
                <c:pt idx="2">
                  <c:v>12</c:v>
                </c:pt>
                <c:pt idx="3">
                  <c:v>0</c:v>
                </c:pt>
                <c:pt idx="4" formatCode="0.0">
                  <c:v>1.3846153846153846</c:v>
                </c:pt>
                <c:pt idx="5" formatCode="[h]:mm:ss;@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ECA-4F16-B80B-0D7B2297F5BD}"/>
            </c:ext>
          </c:extLst>
        </c:ser>
        <c:ser>
          <c:idx val="8"/>
          <c:order val="8"/>
          <c:tx>
            <c:strRef>
              <c:f>Começo!$C$22</c:f>
              <c:strCache>
                <c:ptCount val="1"/>
                <c:pt idx="0">
                  <c:v>Direito Tributário</c:v>
                </c:pt>
              </c:strCache>
            </c:strRef>
          </c:tx>
          <c:spPr>
            <a:ln w="349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Começo!$E$13:$K$13</c:f>
              <c:strCache>
                <c:ptCount val="7"/>
                <c:pt idx="0">
                  <c:v>Qantidade de Questões</c:v>
                </c:pt>
                <c:pt idx="1">
                  <c:v>Peso</c:v>
                </c:pt>
                <c:pt idx="2">
                  <c:v>Acertos</c:v>
                </c:pt>
                <c:pt idx="3">
                  <c:v>Nivel</c:v>
                </c:pt>
                <c:pt idx="4">
                  <c:v>Pontos</c:v>
                </c:pt>
                <c:pt idx="5">
                  <c:v>Horas Sugeridas á +</c:v>
                </c:pt>
                <c:pt idx="6">
                  <c:v>Domínio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Começo!$D$22:$K$22</c15:sqref>
                  </c15:fullRef>
                </c:ext>
              </c:extLst>
              <c:f>Começo!$E$22:$K$22</c:f>
              <c:numCache>
                <c:formatCode>General</c:formatCode>
                <c:ptCount val="7"/>
                <c:pt idx="0">
                  <c:v>6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 formatCode="0.0">
                  <c:v>0.83333333333333337</c:v>
                </c:pt>
                <c:pt idx="5" formatCode="[h]:mm:ss;@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ECA-4F16-B80B-0D7B2297F5BD}"/>
            </c:ext>
          </c:extLst>
        </c:ser>
        <c:ser>
          <c:idx val="9"/>
          <c:order val="9"/>
          <c:tx>
            <c:strRef>
              <c:f>Começo!$C$23</c:f>
              <c:strCache>
                <c:ptCount val="1"/>
                <c:pt idx="0">
                  <c:v>Inglês</c:v>
                </c:pt>
              </c:strCache>
            </c:strRef>
          </c:tx>
          <c:spPr>
            <a:ln w="349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Começo!$E$13:$K$13</c:f>
              <c:strCache>
                <c:ptCount val="7"/>
                <c:pt idx="0">
                  <c:v>Qantidade de Questões</c:v>
                </c:pt>
                <c:pt idx="1">
                  <c:v>Peso</c:v>
                </c:pt>
                <c:pt idx="2">
                  <c:v>Acertos</c:v>
                </c:pt>
                <c:pt idx="3">
                  <c:v>Nivel</c:v>
                </c:pt>
                <c:pt idx="4">
                  <c:v>Pontos</c:v>
                </c:pt>
                <c:pt idx="5">
                  <c:v>Horas Sugeridas á +</c:v>
                </c:pt>
                <c:pt idx="6">
                  <c:v>Domínio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Começo!$D$23:$K$23</c15:sqref>
                  </c15:fullRef>
                </c:ext>
              </c:extLst>
              <c:f>Começo!$E$23:$K$23</c:f>
              <c:numCache>
                <c:formatCode>General</c:formatCode>
                <c:ptCount val="7"/>
                <c:pt idx="0">
                  <c:v>8</c:v>
                </c:pt>
                <c:pt idx="1">
                  <c:v>1</c:v>
                </c:pt>
                <c:pt idx="2">
                  <c:v>8</c:v>
                </c:pt>
                <c:pt idx="3">
                  <c:v>0</c:v>
                </c:pt>
                <c:pt idx="4" formatCode="0.0">
                  <c:v>1</c:v>
                </c:pt>
                <c:pt idx="5" formatCode="[h]:mm:ss;@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ECA-4F16-B80B-0D7B2297F5BD}"/>
            </c:ext>
          </c:extLst>
        </c:ser>
        <c:ser>
          <c:idx val="10"/>
          <c:order val="10"/>
          <c:tx>
            <c:strRef>
              <c:f>Começo!$C$24</c:f>
              <c:strCache>
                <c:ptCount val="1"/>
                <c:pt idx="0">
                  <c:v>Análise de Sistemas</c:v>
                </c:pt>
              </c:strCache>
            </c:strRef>
          </c:tx>
          <c:spPr>
            <a:ln w="349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Começo!$E$13:$K$13</c:f>
              <c:strCache>
                <c:ptCount val="7"/>
                <c:pt idx="0">
                  <c:v>Qantidade de Questões</c:v>
                </c:pt>
                <c:pt idx="1">
                  <c:v>Peso</c:v>
                </c:pt>
                <c:pt idx="2">
                  <c:v>Acertos</c:v>
                </c:pt>
                <c:pt idx="3">
                  <c:v>Nivel</c:v>
                </c:pt>
                <c:pt idx="4">
                  <c:v>Pontos</c:v>
                </c:pt>
                <c:pt idx="5">
                  <c:v>Horas Sugeridas á +</c:v>
                </c:pt>
                <c:pt idx="6">
                  <c:v>Domínio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Começo!$D$24:$K$24</c15:sqref>
                  </c15:fullRef>
                </c:ext>
              </c:extLst>
              <c:f>Começo!$E$24:$K$24</c:f>
              <c:numCache>
                <c:formatCode>General</c:formatCode>
                <c:ptCount val="7"/>
                <c:pt idx="0">
                  <c:v>17</c:v>
                </c:pt>
                <c:pt idx="1">
                  <c:v>2</c:v>
                </c:pt>
                <c:pt idx="2">
                  <c:v>14</c:v>
                </c:pt>
                <c:pt idx="3">
                  <c:v>0</c:v>
                </c:pt>
                <c:pt idx="4" formatCode="0.0">
                  <c:v>1.6470588235294117</c:v>
                </c:pt>
                <c:pt idx="5" formatCode="[h]:mm:ss;@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ECA-4F16-B80B-0D7B2297F5BD}"/>
            </c:ext>
          </c:extLst>
        </c:ser>
        <c:ser>
          <c:idx val="11"/>
          <c:order val="11"/>
          <c:tx>
            <c:strRef>
              <c:f>Começo!$C$25</c:f>
              <c:strCache>
                <c:ptCount val="1"/>
                <c:pt idx="0">
                  <c:v>Direito Legislativo</c:v>
                </c:pt>
              </c:strCache>
            </c:strRef>
          </c:tx>
          <c:spPr>
            <a:ln w="349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Começo!$E$13:$K$13</c:f>
              <c:strCache>
                <c:ptCount val="7"/>
                <c:pt idx="0">
                  <c:v>Qantidade de Questões</c:v>
                </c:pt>
                <c:pt idx="1">
                  <c:v>Peso</c:v>
                </c:pt>
                <c:pt idx="2">
                  <c:v>Acertos</c:v>
                </c:pt>
                <c:pt idx="3">
                  <c:v>Nivel</c:v>
                </c:pt>
                <c:pt idx="4">
                  <c:v>Pontos</c:v>
                </c:pt>
                <c:pt idx="5">
                  <c:v>Horas Sugeridas á +</c:v>
                </c:pt>
                <c:pt idx="6">
                  <c:v>Domínio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Começo!$D$25:$K$25</c15:sqref>
                  </c15:fullRef>
                </c:ext>
              </c:extLst>
              <c:f>Começo!$E$25:$K$25</c:f>
              <c:numCache>
                <c:formatCode>General</c:formatCode>
                <c:ptCount val="7"/>
                <c:pt idx="0">
                  <c:v>14</c:v>
                </c:pt>
                <c:pt idx="1">
                  <c:v>2.5</c:v>
                </c:pt>
                <c:pt idx="2">
                  <c:v>13</c:v>
                </c:pt>
                <c:pt idx="3">
                  <c:v>0</c:v>
                </c:pt>
                <c:pt idx="4" formatCode="0.0">
                  <c:v>2.3214285714285716</c:v>
                </c:pt>
                <c:pt idx="5" formatCode="[h]:mm:ss;@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ECA-4F16-B80B-0D7B2297F5BD}"/>
            </c:ext>
          </c:extLst>
        </c:ser>
        <c:ser>
          <c:idx val="12"/>
          <c:order val="12"/>
          <c:tx>
            <c:strRef>
              <c:f>Começo!$C$26</c:f>
              <c:strCache>
                <c:ptCount val="1"/>
                <c:pt idx="0">
                  <c:v>Mecânica dos Fluídos</c:v>
                </c:pt>
              </c:strCache>
            </c:strRef>
          </c:tx>
          <c:spPr>
            <a:ln w="349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Começo!$E$13:$K$13</c:f>
              <c:strCache>
                <c:ptCount val="7"/>
                <c:pt idx="0">
                  <c:v>Qantidade de Questões</c:v>
                </c:pt>
                <c:pt idx="1">
                  <c:v>Peso</c:v>
                </c:pt>
                <c:pt idx="2">
                  <c:v>Acertos</c:v>
                </c:pt>
                <c:pt idx="3">
                  <c:v>Nivel</c:v>
                </c:pt>
                <c:pt idx="4">
                  <c:v>Pontos</c:v>
                </c:pt>
                <c:pt idx="5">
                  <c:v>Horas Sugeridas á +</c:v>
                </c:pt>
                <c:pt idx="6">
                  <c:v>Domínio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Começo!$D$26:$K$26</c15:sqref>
                  </c15:fullRef>
                </c:ext>
              </c:extLst>
              <c:f>Começo!$E$26:$K$26</c:f>
              <c:numCache>
                <c:formatCode>General</c:formatCode>
                <c:ptCount val="7"/>
                <c:pt idx="0">
                  <c:v>10</c:v>
                </c:pt>
                <c:pt idx="1">
                  <c:v>1.5</c:v>
                </c:pt>
                <c:pt idx="2">
                  <c:v>5</c:v>
                </c:pt>
                <c:pt idx="3">
                  <c:v>0</c:v>
                </c:pt>
                <c:pt idx="4" formatCode="0.0">
                  <c:v>0.75</c:v>
                </c:pt>
                <c:pt idx="5" formatCode="[h]:mm:ss;@">
                  <c:v>1.0416666666666667E-3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ECA-4F16-B80B-0D7B2297F5BD}"/>
            </c:ext>
          </c:extLst>
        </c:ser>
        <c:ser>
          <c:idx val="13"/>
          <c:order val="13"/>
          <c:tx>
            <c:strRef>
              <c:f>Começo!$C$27</c:f>
              <c:strCache>
                <c:ptCount val="1"/>
                <c:pt idx="0">
                  <c:v>IoT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Começo!$E$13:$K$13</c:f>
              <c:strCache>
                <c:ptCount val="7"/>
                <c:pt idx="0">
                  <c:v>Qantidade de Questões</c:v>
                </c:pt>
                <c:pt idx="1">
                  <c:v>Peso</c:v>
                </c:pt>
                <c:pt idx="2">
                  <c:v>Acertos</c:v>
                </c:pt>
                <c:pt idx="3">
                  <c:v>Nivel</c:v>
                </c:pt>
                <c:pt idx="4">
                  <c:v>Pontos</c:v>
                </c:pt>
                <c:pt idx="5">
                  <c:v>Horas Sugeridas á +</c:v>
                </c:pt>
                <c:pt idx="6">
                  <c:v>Domínio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Começo!$D$27:$K$27</c15:sqref>
                  </c15:fullRef>
                </c:ext>
              </c:extLst>
              <c:f>Começo!$E$27:$K$27</c:f>
              <c:numCache>
                <c:formatCode>General</c:formatCode>
                <c:ptCount val="7"/>
                <c:pt idx="0">
                  <c:v>13</c:v>
                </c:pt>
                <c:pt idx="1">
                  <c:v>1</c:v>
                </c:pt>
                <c:pt idx="2">
                  <c:v>13</c:v>
                </c:pt>
                <c:pt idx="3">
                  <c:v>0</c:v>
                </c:pt>
                <c:pt idx="4" formatCode="0.0">
                  <c:v>1</c:v>
                </c:pt>
                <c:pt idx="5" formatCode="[h]:mm:ss;@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ECA-4F16-B80B-0D7B2297F5BD}"/>
            </c:ext>
          </c:extLst>
        </c:ser>
        <c:ser>
          <c:idx val="14"/>
          <c:order val="14"/>
          <c:tx>
            <c:strRef>
              <c:f>Começo!$C$28</c:f>
              <c:strCache>
                <c:ptCount val="1"/>
                <c:pt idx="0">
                  <c:v>Astrologia</c:v>
                </c:pt>
              </c:strCache>
            </c:strRef>
          </c:tx>
          <c:spPr>
            <a:ln w="349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Começo!$E$13:$K$13</c:f>
              <c:strCache>
                <c:ptCount val="7"/>
                <c:pt idx="0">
                  <c:v>Qantidade de Questões</c:v>
                </c:pt>
                <c:pt idx="1">
                  <c:v>Peso</c:v>
                </c:pt>
                <c:pt idx="2">
                  <c:v>Acertos</c:v>
                </c:pt>
                <c:pt idx="3">
                  <c:v>Nivel</c:v>
                </c:pt>
                <c:pt idx="4">
                  <c:v>Pontos</c:v>
                </c:pt>
                <c:pt idx="5">
                  <c:v>Horas Sugeridas á +</c:v>
                </c:pt>
                <c:pt idx="6">
                  <c:v>Domínio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Começo!$D$28:$K$28</c15:sqref>
                  </c15:fullRef>
                </c:ext>
              </c:extLst>
              <c:f>Começo!$E$28:$K$28</c:f>
              <c:numCache>
                <c:formatCode>General</c:formatCode>
                <c:ptCount val="7"/>
                <c:pt idx="0">
                  <c:v>5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 formatCode="0.0">
                  <c:v>1</c:v>
                </c:pt>
                <c:pt idx="5" formatCode="[h]:mm:ss;@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ECA-4F16-B80B-0D7B2297F5BD}"/>
            </c:ext>
          </c:extLst>
        </c:ser>
        <c:ser>
          <c:idx val="15"/>
          <c:order val="15"/>
          <c:tx>
            <c:strRef>
              <c:f>Começo!$C$29</c:f>
              <c:strCache>
                <c:ptCount val="1"/>
                <c:pt idx="0">
                  <c:v>Colorimetria</c:v>
                </c:pt>
              </c:strCache>
            </c:strRef>
          </c:tx>
          <c:spPr>
            <a:ln w="349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Começo!$E$13:$K$13</c:f>
              <c:strCache>
                <c:ptCount val="7"/>
                <c:pt idx="0">
                  <c:v>Qantidade de Questões</c:v>
                </c:pt>
                <c:pt idx="1">
                  <c:v>Peso</c:v>
                </c:pt>
                <c:pt idx="2">
                  <c:v>Acertos</c:v>
                </c:pt>
                <c:pt idx="3">
                  <c:v>Nivel</c:v>
                </c:pt>
                <c:pt idx="4">
                  <c:v>Pontos</c:v>
                </c:pt>
                <c:pt idx="5">
                  <c:v>Horas Sugeridas á +</c:v>
                </c:pt>
                <c:pt idx="6">
                  <c:v>Domínio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Começo!$D$29:$K$29</c15:sqref>
                  </c15:fullRef>
                </c:ext>
              </c:extLst>
              <c:f>Começo!$E$29:$K$29</c:f>
              <c:numCache>
                <c:formatCode>General</c:formatCode>
                <c:ptCount val="7"/>
                <c:pt idx="0">
                  <c:v>6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 formatCode="0.0">
                  <c:v>0.66666666666666663</c:v>
                </c:pt>
                <c:pt idx="5" formatCode="[h]:mm:ss;@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ECA-4F16-B80B-0D7B2297F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7238584"/>
        <c:axId val="957244160"/>
      </c:lineChart>
      <c:catAx>
        <c:axId val="957238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7244160"/>
        <c:crosses val="autoZero"/>
        <c:auto val="1"/>
        <c:lblAlgn val="ctr"/>
        <c:lblOffset val="100"/>
        <c:noMultiLvlLbl val="0"/>
      </c:catAx>
      <c:valAx>
        <c:axId val="95724416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crossAx val="95723858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Começo!$C$14</c:f>
              <c:strCache>
                <c:ptCount val="1"/>
                <c:pt idx="0">
                  <c:v>Português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Começo!$C$13:$K$13</c15:sqref>
                  </c15:fullRef>
                </c:ext>
              </c:extLst>
              <c:f>(Começo!$D$13:$E$13,Começo!$G$13,Começo!$I$13:$J$13)</c:f>
              <c:strCache>
                <c:ptCount val="5"/>
                <c:pt idx="0">
                  <c:v>Horas de Estudos </c:v>
                </c:pt>
                <c:pt idx="1">
                  <c:v>Qantidade de Questões</c:v>
                </c:pt>
                <c:pt idx="2">
                  <c:v>Acertos</c:v>
                </c:pt>
                <c:pt idx="3">
                  <c:v>Pontos</c:v>
                </c:pt>
                <c:pt idx="4">
                  <c:v>Horas Sugeridas á +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Começo!$C$14:$K$14</c15:sqref>
                  </c15:fullRef>
                </c:ext>
              </c:extLst>
              <c:f>(Começo!$D$14:$E$14,Começo!$G$14,Começo!$I$14:$J$14)</c:f>
              <c:numCache>
                <c:formatCode>h:mm;@</c:formatCode>
                <c:ptCount val="5"/>
                <c:pt idx="0">
                  <c:v>0.125</c:v>
                </c:pt>
                <c:pt idx="1" formatCode="General">
                  <c:v>15</c:v>
                </c:pt>
                <c:pt idx="2" formatCode="General">
                  <c:v>9</c:v>
                </c:pt>
                <c:pt idx="3" formatCode="0.0">
                  <c:v>0.9</c:v>
                </c:pt>
                <c:pt idx="4" formatCode="[h]:mm:ss;@">
                  <c:v>1.0416666666666667E-3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30-4994-A123-7703A7D54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98490760"/>
        <c:axId val="698494368"/>
        <c:axId val="0"/>
      </c:bar3DChart>
      <c:catAx>
        <c:axId val="698490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8494368"/>
        <c:crosses val="autoZero"/>
        <c:auto val="1"/>
        <c:lblAlgn val="ctr"/>
        <c:lblOffset val="100"/>
        <c:noMultiLvlLbl val="0"/>
      </c:catAx>
      <c:valAx>
        <c:axId val="69849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8490760"/>
        <c:crosses val="autoZero"/>
        <c:crossBetween val="between"/>
      </c:valAx>
      <c:dTable>
        <c:showHorzBorder val="0"/>
        <c:showVertBorder val="0"/>
        <c:showOutline val="0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Começo!$C$14</c:f>
              <c:strCache>
                <c:ptCount val="1"/>
                <c:pt idx="0">
                  <c:v>Português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(Começo!$D$13:$E$13,Começo!$G$13:$J$13)</c:f>
              <c:strCache>
                <c:ptCount val="6"/>
                <c:pt idx="0">
                  <c:v>Horas de Estudos </c:v>
                </c:pt>
                <c:pt idx="1">
                  <c:v>Qantidade de Questões</c:v>
                </c:pt>
                <c:pt idx="2">
                  <c:v>Acertos</c:v>
                </c:pt>
                <c:pt idx="3">
                  <c:v>Nivel</c:v>
                </c:pt>
                <c:pt idx="4">
                  <c:v>Pontos</c:v>
                </c:pt>
                <c:pt idx="5">
                  <c:v>Horas Sugeridas á +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Começo!$D$14:$K$14</c15:sqref>
                  </c15:fullRef>
                </c:ext>
              </c:extLst>
              <c:f>(Começo!$D$14:$E$14,Começo!$G$14:$J$14)</c:f>
              <c:numCache>
                <c:formatCode>General</c:formatCode>
                <c:ptCount val="6"/>
                <c:pt idx="0" formatCode="h:mm;@">
                  <c:v>0.125</c:v>
                </c:pt>
                <c:pt idx="1">
                  <c:v>15</c:v>
                </c:pt>
                <c:pt idx="2">
                  <c:v>9</c:v>
                </c:pt>
                <c:pt idx="3">
                  <c:v>0</c:v>
                </c:pt>
                <c:pt idx="4" formatCode="0.0">
                  <c:v>0.9</c:v>
                </c:pt>
                <c:pt idx="5" formatCode="[h]:mm:ss;@">
                  <c:v>1.0416666666666667E-3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1D7-4C5D-AE07-4A1560653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0139640"/>
        <c:axId val="480132424"/>
      </c:barChart>
      <c:catAx>
        <c:axId val="4801396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132424"/>
        <c:crosses val="autoZero"/>
        <c:auto val="1"/>
        <c:lblAlgn val="ctr"/>
        <c:lblOffset val="100"/>
        <c:noMultiLvlLbl val="0"/>
      </c:catAx>
      <c:valAx>
        <c:axId val="480132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1396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Começo!$C$15</c:f>
              <c:strCache>
                <c:ptCount val="1"/>
                <c:pt idx="0">
                  <c:v>Matemática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(Começo!$D$13:$E$13,Começo!$G$13,Começo!$I$13:$J$13)</c:f>
              <c:strCache>
                <c:ptCount val="5"/>
                <c:pt idx="0">
                  <c:v>Horas de Estudos </c:v>
                </c:pt>
                <c:pt idx="1">
                  <c:v>Qantidade de Questões</c:v>
                </c:pt>
                <c:pt idx="2">
                  <c:v>Acertos</c:v>
                </c:pt>
                <c:pt idx="3">
                  <c:v>Pontos</c:v>
                </c:pt>
                <c:pt idx="4">
                  <c:v>Horas Sugeridas á +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Começo!$D$15:$K$15</c15:sqref>
                  </c15:fullRef>
                </c:ext>
              </c:extLst>
              <c:f>(Começo!$D$15:$E$15,Começo!$G$15,Começo!$I$15:$J$15)</c:f>
              <c:numCache>
                <c:formatCode>General</c:formatCode>
                <c:ptCount val="5"/>
                <c:pt idx="0" formatCode="h:mm;@">
                  <c:v>0.10416666666666667</c:v>
                </c:pt>
                <c:pt idx="1">
                  <c:v>25</c:v>
                </c:pt>
                <c:pt idx="2">
                  <c:v>16</c:v>
                </c:pt>
                <c:pt idx="3" formatCode="0.0">
                  <c:v>1.6</c:v>
                </c:pt>
                <c:pt idx="4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21-40CD-9B92-D4F90B4FD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98490760"/>
        <c:axId val="698494368"/>
        <c:axId val="0"/>
      </c:bar3DChart>
      <c:catAx>
        <c:axId val="698490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8494368"/>
        <c:crosses val="autoZero"/>
        <c:auto val="1"/>
        <c:lblAlgn val="ctr"/>
        <c:lblOffset val="100"/>
        <c:noMultiLvlLbl val="0"/>
      </c:catAx>
      <c:valAx>
        <c:axId val="69849436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crossAx val="69849076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Começo!$C$15</c:f>
              <c:strCache>
                <c:ptCount val="1"/>
                <c:pt idx="0">
                  <c:v>Matemática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(Começo!$D$13:$E$13,Começo!$G$13,Começo!$I$13:$J$13)</c:f>
              <c:strCache>
                <c:ptCount val="5"/>
                <c:pt idx="0">
                  <c:v>Horas de Estudos </c:v>
                </c:pt>
                <c:pt idx="1">
                  <c:v>Qantidade de Questões</c:v>
                </c:pt>
                <c:pt idx="2">
                  <c:v>Acertos</c:v>
                </c:pt>
                <c:pt idx="3">
                  <c:v>Pontos</c:v>
                </c:pt>
                <c:pt idx="4">
                  <c:v>Horas Sugeridas á +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Começo!$D$15:$K$15</c15:sqref>
                  </c15:fullRef>
                </c:ext>
              </c:extLst>
              <c:f>(Começo!$D$15:$E$15,Começo!$G$15,Começo!$I$15:$J$15)</c:f>
              <c:numCache>
                <c:formatCode>General</c:formatCode>
                <c:ptCount val="5"/>
                <c:pt idx="0" formatCode="h:mm;@">
                  <c:v>0.10416666666666667</c:v>
                </c:pt>
                <c:pt idx="1">
                  <c:v>25</c:v>
                </c:pt>
                <c:pt idx="2">
                  <c:v>16</c:v>
                </c:pt>
                <c:pt idx="3" formatCode="0.0">
                  <c:v>1.6</c:v>
                </c:pt>
                <c:pt idx="4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78-4B8C-8CCE-CE134EFEF7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3115408"/>
        <c:axId val="483124920"/>
      </c:barChart>
      <c:catAx>
        <c:axId val="4831154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3124920"/>
        <c:crosses val="autoZero"/>
        <c:auto val="1"/>
        <c:lblAlgn val="ctr"/>
        <c:lblOffset val="100"/>
        <c:noMultiLvlLbl val="0"/>
      </c:catAx>
      <c:valAx>
        <c:axId val="483124920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crossAx val="483115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Começo!$C$16</c:f>
              <c:strCache>
                <c:ptCount val="1"/>
                <c:pt idx="0">
                  <c:v>História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(Começo!$D$13:$E$13,Começo!$G$13:$J$13)</c:f>
              <c:strCache>
                <c:ptCount val="6"/>
                <c:pt idx="0">
                  <c:v>Horas de Estudos </c:v>
                </c:pt>
                <c:pt idx="1">
                  <c:v>Qantidade de Questões</c:v>
                </c:pt>
                <c:pt idx="2">
                  <c:v>Acertos</c:v>
                </c:pt>
                <c:pt idx="3">
                  <c:v>Nivel</c:v>
                </c:pt>
                <c:pt idx="4">
                  <c:v>Pontos</c:v>
                </c:pt>
                <c:pt idx="5">
                  <c:v>Horas Sugeridas á +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Começo!$D$16:$K$16</c15:sqref>
                  </c15:fullRef>
                </c:ext>
              </c:extLst>
              <c:f>(Começo!$D$16:$E$16,Começo!$G$16:$J$16)</c:f>
              <c:numCache>
                <c:formatCode>General</c:formatCode>
                <c:ptCount val="6"/>
                <c:pt idx="0" formatCode="h:mm;@">
                  <c:v>4.1666666666666664E-2</c:v>
                </c:pt>
                <c:pt idx="1">
                  <c:v>8</c:v>
                </c:pt>
                <c:pt idx="2">
                  <c:v>7</c:v>
                </c:pt>
                <c:pt idx="3">
                  <c:v>0</c:v>
                </c:pt>
                <c:pt idx="4" formatCode="0.0">
                  <c:v>0.875</c:v>
                </c:pt>
                <c:pt idx="5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6D-4188-837F-97724AE4E1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98490760"/>
        <c:axId val="698494368"/>
        <c:axId val="0"/>
      </c:bar3DChart>
      <c:catAx>
        <c:axId val="698490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8494368"/>
        <c:crosses val="autoZero"/>
        <c:auto val="1"/>
        <c:lblAlgn val="ctr"/>
        <c:lblOffset val="100"/>
        <c:noMultiLvlLbl val="0"/>
      </c:catAx>
      <c:valAx>
        <c:axId val="69849436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crossAx val="698490760"/>
        <c:crosses val="autoZero"/>
        <c:crossBetween val="between"/>
      </c:valAx>
      <c:dTable>
        <c:showHorzBorder val="0"/>
        <c:showVertBorder val="0"/>
        <c:showOutline val="0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Começo!$C$16</c:f>
              <c:strCache>
                <c:ptCount val="1"/>
                <c:pt idx="0">
                  <c:v>História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Começo!$C$13:$K$13</c15:sqref>
                  </c15:fullRef>
                </c:ext>
              </c:extLst>
              <c:f>(Começo!$D$13:$E$13,Começo!$G$13:$K$13)</c:f>
              <c:strCache>
                <c:ptCount val="7"/>
                <c:pt idx="0">
                  <c:v>Horas de Estudos </c:v>
                </c:pt>
                <c:pt idx="1">
                  <c:v>Qantidade de Questões</c:v>
                </c:pt>
                <c:pt idx="2">
                  <c:v>Acertos</c:v>
                </c:pt>
                <c:pt idx="3">
                  <c:v>Nivel</c:v>
                </c:pt>
                <c:pt idx="4">
                  <c:v>Pontos</c:v>
                </c:pt>
                <c:pt idx="5">
                  <c:v>Horas Sugeridas á +</c:v>
                </c:pt>
                <c:pt idx="6">
                  <c:v>Domínio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Começo!$D$16:$K$16</c15:sqref>
                  </c15:fullRef>
                </c:ext>
              </c:extLst>
              <c:f>(Começo!$E$16:$F$16,Começo!$H$16:$K$16)</c:f>
              <c:numCache>
                <c:formatCode>General</c:formatCode>
                <c:ptCount val="6"/>
                <c:pt idx="0">
                  <c:v>8</c:v>
                </c:pt>
                <c:pt idx="1">
                  <c:v>1</c:v>
                </c:pt>
                <c:pt idx="2">
                  <c:v>0</c:v>
                </c:pt>
                <c:pt idx="3" formatCode="0.0">
                  <c:v>0.875</c:v>
                </c:pt>
                <c:pt idx="4" formatCode="[h]:mm:ss;@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05-434F-906F-FD010DEDB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0139640"/>
        <c:axId val="480132424"/>
      </c:barChart>
      <c:catAx>
        <c:axId val="4801396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132424"/>
        <c:crosses val="autoZero"/>
        <c:auto val="1"/>
        <c:lblAlgn val="ctr"/>
        <c:lblOffset val="100"/>
        <c:noMultiLvlLbl val="0"/>
      </c:catAx>
      <c:valAx>
        <c:axId val="48013242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crossAx val="4801396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Começo!$C$17</c:f>
              <c:strCache>
                <c:ptCount val="1"/>
                <c:pt idx="0">
                  <c:v>Física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Começo!$D$13:$J$13</c:f>
              <c:strCache>
                <c:ptCount val="7"/>
                <c:pt idx="0">
                  <c:v>Horas de Estudos </c:v>
                </c:pt>
                <c:pt idx="1">
                  <c:v>Qantidade de Questões</c:v>
                </c:pt>
                <c:pt idx="2">
                  <c:v>Peso</c:v>
                </c:pt>
                <c:pt idx="3">
                  <c:v>Acertos</c:v>
                </c:pt>
                <c:pt idx="4">
                  <c:v>Nivel</c:v>
                </c:pt>
                <c:pt idx="5">
                  <c:v>Pontos</c:v>
                </c:pt>
                <c:pt idx="6">
                  <c:v>Horas Sugeridas á +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Começo!$D$17:$K$17</c15:sqref>
                  </c15:fullRef>
                </c:ext>
              </c:extLst>
              <c:f>Começo!$D$17:$J$17</c:f>
              <c:numCache>
                <c:formatCode>General</c:formatCode>
                <c:ptCount val="7"/>
                <c:pt idx="0" formatCode="h:mm;@">
                  <c:v>0.1875</c:v>
                </c:pt>
                <c:pt idx="1">
                  <c:v>11</c:v>
                </c:pt>
                <c:pt idx="2">
                  <c:v>3</c:v>
                </c:pt>
                <c:pt idx="3">
                  <c:v>9</c:v>
                </c:pt>
                <c:pt idx="4">
                  <c:v>0</c:v>
                </c:pt>
                <c:pt idx="5" formatCode="0.0">
                  <c:v>2.4545454545454546</c:v>
                </c:pt>
                <c:pt idx="6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C7-4AFA-BE16-D3C1B342E3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98490760"/>
        <c:axId val="698494368"/>
        <c:axId val="0"/>
      </c:bar3DChart>
      <c:catAx>
        <c:axId val="698490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8494368"/>
        <c:crosses val="autoZero"/>
        <c:auto val="1"/>
        <c:lblAlgn val="ctr"/>
        <c:lblOffset val="100"/>
        <c:noMultiLvlLbl val="0"/>
      </c:catAx>
      <c:valAx>
        <c:axId val="69849436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crossAx val="698490760"/>
        <c:crosses val="autoZero"/>
        <c:crossBetween val="between"/>
      </c:valAx>
      <c:dTable>
        <c:showHorzBorder val="0"/>
        <c:showVertBorder val="0"/>
        <c:showOutline val="0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Começo!$C$17</c:f>
              <c:strCache>
                <c:ptCount val="1"/>
                <c:pt idx="0">
                  <c:v>Física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Começo!$D$13:$J$13</c:f>
              <c:strCache>
                <c:ptCount val="7"/>
                <c:pt idx="0">
                  <c:v>Horas de Estudos </c:v>
                </c:pt>
                <c:pt idx="1">
                  <c:v>Qantidade de Questões</c:v>
                </c:pt>
                <c:pt idx="2">
                  <c:v>Peso</c:v>
                </c:pt>
                <c:pt idx="3">
                  <c:v>Acertos</c:v>
                </c:pt>
                <c:pt idx="4">
                  <c:v>Nivel</c:v>
                </c:pt>
                <c:pt idx="5">
                  <c:v>Pontos</c:v>
                </c:pt>
                <c:pt idx="6">
                  <c:v>Horas Sugeridas á +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Começo!$D$17:$K$17</c15:sqref>
                  </c15:fullRef>
                </c:ext>
              </c:extLst>
              <c:f>Começo!$D$17:$J$17</c:f>
              <c:numCache>
                <c:formatCode>General</c:formatCode>
                <c:ptCount val="7"/>
                <c:pt idx="0" formatCode="h:mm;@">
                  <c:v>0.1875</c:v>
                </c:pt>
                <c:pt idx="1">
                  <c:v>11</c:v>
                </c:pt>
                <c:pt idx="2">
                  <c:v>3</c:v>
                </c:pt>
                <c:pt idx="3">
                  <c:v>9</c:v>
                </c:pt>
                <c:pt idx="4">
                  <c:v>0</c:v>
                </c:pt>
                <c:pt idx="5" formatCode="0.0">
                  <c:v>2.4545454545454546</c:v>
                </c:pt>
                <c:pt idx="6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D-4D67-A269-725D7E9D5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0139640"/>
        <c:axId val="480132424"/>
      </c:barChart>
      <c:catAx>
        <c:axId val="4801396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132424"/>
        <c:crosses val="autoZero"/>
        <c:auto val="1"/>
        <c:lblAlgn val="ctr"/>
        <c:lblOffset val="100"/>
        <c:noMultiLvlLbl val="0"/>
      </c:catAx>
      <c:valAx>
        <c:axId val="48013242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crossAx val="4801396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Começo!$C$18</c:f>
              <c:strCache>
                <c:ptCount val="1"/>
                <c:pt idx="0">
                  <c:v>Quimíca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Começo!$D$13:$J$13</c:f>
              <c:strCache>
                <c:ptCount val="7"/>
                <c:pt idx="0">
                  <c:v>Horas de Estudos </c:v>
                </c:pt>
                <c:pt idx="1">
                  <c:v>Qantidade de Questões</c:v>
                </c:pt>
                <c:pt idx="2">
                  <c:v>Peso</c:v>
                </c:pt>
                <c:pt idx="3">
                  <c:v>Acertos</c:v>
                </c:pt>
                <c:pt idx="4">
                  <c:v>Nivel</c:v>
                </c:pt>
                <c:pt idx="5">
                  <c:v>Pontos</c:v>
                </c:pt>
                <c:pt idx="6">
                  <c:v>Horas Sugeridas á +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Começo!$D$18:$K$18</c15:sqref>
                  </c15:fullRef>
                </c:ext>
              </c:extLst>
              <c:f>Começo!$D$18:$J$18</c:f>
              <c:numCache>
                <c:formatCode>General</c:formatCode>
                <c:ptCount val="7"/>
                <c:pt idx="0" formatCode="h:mm;@">
                  <c:v>0.25</c:v>
                </c:pt>
                <c:pt idx="1">
                  <c:v>5</c:v>
                </c:pt>
                <c:pt idx="2">
                  <c:v>1.5</c:v>
                </c:pt>
                <c:pt idx="3">
                  <c:v>3</c:v>
                </c:pt>
                <c:pt idx="4">
                  <c:v>0</c:v>
                </c:pt>
                <c:pt idx="5" formatCode="0.0">
                  <c:v>0.9</c:v>
                </c:pt>
                <c:pt idx="6" formatCode="[h]:mm:ss;@">
                  <c:v>2.0833333333333333E-3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AF-46D9-9A96-D7FFC0B92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98490760"/>
        <c:axId val="698494368"/>
        <c:axId val="0"/>
      </c:bar3DChart>
      <c:catAx>
        <c:axId val="698490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8494368"/>
        <c:crosses val="autoZero"/>
        <c:auto val="1"/>
        <c:lblAlgn val="ctr"/>
        <c:lblOffset val="100"/>
        <c:noMultiLvlLbl val="0"/>
      </c:catAx>
      <c:valAx>
        <c:axId val="69849436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crossAx val="698490760"/>
        <c:crosses val="autoZero"/>
        <c:crossBetween val="between"/>
      </c:valAx>
      <c:dTable>
        <c:showHorzBorder val="0"/>
        <c:showVertBorder val="0"/>
        <c:showOutline val="0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Começo!$C$18</c:f>
              <c:strCache>
                <c:ptCount val="1"/>
                <c:pt idx="0">
                  <c:v>Quimíca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Começo!$D$13:$J$13</c:f>
              <c:strCache>
                <c:ptCount val="7"/>
                <c:pt idx="0">
                  <c:v>Horas de Estudos </c:v>
                </c:pt>
                <c:pt idx="1">
                  <c:v>Qantidade de Questões</c:v>
                </c:pt>
                <c:pt idx="2">
                  <c:v>Peso</c:v>
                </c:pt>
                <c:pt idx="3">
                  <c:v>Acertos</c:v>
                </c:pt>
                <c:pt idx="4">
                  <c:v>Nivel</c:v>
                </c:pt>
                <c:pt idx="5">
                  <c:v>Pontos</c:v>
                </c:pt>
                <c:pt idx="6">
                  <c:v>Horas Sugeridas á +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Começo!$D$18:$K$18</c15:sqref>
                  </c15:fullRef>
                </c:ext>
              </c:extLst>
              <c:f>Começo!$D$18:$J$18</c:f>
              <c:numCache>
                <c:formatCode>General</c:formatCode>
                <c:ptCount val="7"/>
                <c:pt idx="0" formatCode="h:mm;@">
                  <c:v>0.25</c:v>
                </c:pt>
                <c:pt idx="1">
                  <c:v>5</c:v>
                </c:pt>
                <c:pt idx="2">
                  <c:v>1.5</c:v>
                </c:pt>
                <c:pt idx="3">
                  <c:v>3</c:v>
                </c:pt>
                <c:pt idx="4">
                  <c:v>0</c:v>
                </c:pt>
                <c:pt idx="5" formatCode="0.0">
                  <c:v>0.9</c:v>
                </c:pt>
                <c:pt idx="6" formatCode="[h]:mm:ss;@">
                  <c:v>2.0833333333333333E-3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09-4074-9A7B-6A5C68692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0139640"/>
        <c:axId val="480132424"/>
      </c:barChart>
      <c:catAx>
        <c:axId val="4801396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132424"/>
        <c:crosses val="autoZero"/>
        <c:auto val="1"/>
        <c:lblAlgn val="ctr"/>
        <c:lblOffset val="100"/>
        <c:noMultiLvlLbl val="0"/>
      </c:catAx>
      <c:valAx>
        <c:axId val="48013242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crossAx val="4801396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Começo!$C$19</c:f>
              <c:strCache>
                <c:ptCount val="1"/>
                <c:pt idx="0">
                  <c:v>Legislação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Começo!$D$13:$J$13</c:f>
              <c:strCache>
                <c:ptCount val="7"/>
                <c:pt idx="0">
                  <c:v>Horas de Estudos </c:v>
                </c:pt>
                <c:pt idx="1">
                  <c:v>Qantidade de Questões</c:v>
                </c:pt>
                <c:pt idx="2">
                  <c:v>Peso</c:v>
                </c:pt>
                <c:pt idx="3">
                  <c:v>Acertos</c:v>
                </c:pt>
                <c:pt idx="4">
                  <c:v>Nivel</c:v>
                </c:pt>
                <c:pt idx="5">
                  <c:v>Pontos</c:v>
                </c:pt>
                <c:pt idx="6">
                  <c:v>Horas Sugeridas á +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Começo!$D$19:$K$19</c15:sqref>
                  </c15:fullRef>
                </c:ext>
              </c:extLst>
              <c:f>Começo!$D$19:$J$19</c:f>
              <c:numCache>
                <c:formatCode>General</c:formatCode>
                <c:ptCount val="7"/>
                <c:pt idx="0" formatCode="h:mm;@">
                  <c:v>8.3333333333333329E-2</c:v>
                </c:pt>
                <c:pt idx="1">
                  <c:v>12</c:v>
                </c:pt>
                <c:pt idx="2">
                  <c:v>2</c:v>
                </c:pt>
                <c:pt idx="3">
                  <c:v>11</c:v>
                </c:pt>
                <c:pt idx="4">
                  <c:v>0</c:v>
                </c:pt>
                <c:pt idx="5" formatCode="0.0">
                  <c:v>1.8333333333333333</c:v>
                </c:pt>
                <c:pt idx="6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60-4F5B-89BD-CDD8F53DA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98490760"/>
        <c:axId val="698494368"/>
        <c:axId val="0"/>
      </c:bar3DChart>
      <c:catAx>
        <c:axId val="698490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8494368"/>
        <c:crosses val="autoZero"/>
        <c:auto val="1"/>
        <c:lblAlgn val="ctr"/>
        <c:lblOffset val="100"/>
        <c:noMultiLvlLbl val="0"/>
      </c:catAx>
      <c:valAx>
        <c:axId val="69849436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crossAx val="698490760"/>
        <c:crosses val="autoZero"/>
        <c:crossBetween val="between"/>
      </c:valAx>
      <c:dTable>
        <c:showHorzBorder val="0"/>
        <c:showVertBorder val="0"/>
        <c:showOutline val="0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Começo!$C$19</c:f>
              <c:strCache>
                <c:ptCount val="1"/>
                <c:pt idx="0">
                  <c:v>Legislação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Começo!$D$13:$J$13</c:f>
              <c:strCache>
                <c:ptCount val="7"/>
                <c:pt idx="0">
                  <c:v>Horas de Estudos </c:v>
                </c:pt>
                <c:pt idx="1">
                  <c:v>Qantidade de Questões</c:v>
                </c:pt>
                <c:pt idx="2">
                  <c:v>Peso</c:v>
                </c:pt>
                <c:pt idx="3">
                  <c:v>Acertos</c:v>
                </c:pt>
                <c:pt idx="4">
                  <c:v>Nivel</c:v>
                </c:pt>
                <c:pt idx="5">
                  <c:v>Pontos</c:v>
                </c:pt>
                <c:pt idx="6">
                  <c:v>Horas Sugeridas á +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Começo!$D$19:$K$19</c15:sqref>
                  </c15:fullRef>
                </c:ext>
              </c:extLst>
              <c:f>Começo!$D$19:$J$19</c:f>
              <c:numCache>
                <c:formatCode>General</c:formatCode>
                <c:ptCount val="7"/>
                <c:pt idx="0" formatCode="h:mm;@">
                  <c:v>8.3333333333333329E-2</c:v>
                </c:pt>
                <c:pt idx="1">
                  <c:v>12</c:v>
                </c:pt>
                <c:pt idx="2">
                  <c:v>2</c:v>
                </c:pt>
                <c:pt idx="3">
                  <c:v>11</c:v>
                </c:pt>
                <c:pt idx="4">
                  <c:v>0</c:v>
                </c:pt>
                <c:pt idx="5" formatCode="0.0">
                  <c:v>1.8333333333333333</c:v>
                </c:pt>
                <c:pt idx="6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23-4331-87F9-CB1044B431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0139640"/>
        <c:axId val="480132424"/>
      </c:barChart>
      <c:catAx>
        <c:axId val="4801396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132424"/>
        <c:crosses val="autoZero"/>
        <c:auto val="1"/>
        <c:lblAlgn val="ctr"/>
        <c:lblOffset val="100"/>
        <c:noMultiLvlLbl val="0"/>
      </c:catAx>
      <c:valAx>
        <c:axId val="48013242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crossAx val="4801396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Começo!$C$20</c:f>
              <c:strCache>
                <c:ptCount val="1"/>
                <c:pt idx="0">
                  <c:v>Processo Penal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Começo!$D$13:$J$13</c:f>
              <c:strCache>
                <c:ptCount val="7"/>
                <c:pt idx="0">
                  <c:v>Horas de Estudos </c:v>
                </c:pt>
                <c:pt idx="1">
                  <c:v>Qantidade de Questões</c:v>
                </c:pt>
                <c:pt idx="2">
                  <c:v>Peso</c:v>
                </c:pt>
                <c:pt idx="3">
                  <c:v>Acertos</c:v>
                </c:pt>
                <c:pt idx="4">
                  <c:v>Nivel</c:v>
                </c:pt>
                <c:pt idx="5">
                  <c:v>Pontos</c:v>
                </c:pt>
                <c:pt idx="6">
                  <c:v>Horas Sugeridas á +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Começo!$D$20:$K$20</c15:sqref>
                  </c15:fullRef>
                </c:ext>
              </c:extLst>
              <c:f>Começo!$D$20:$J$20</c:f>
              <c:numCache>
                <c:formatCode>General</c:formatCode>
                <c:ptCount val="7"/>
                <c:pt idx="0" formatCode="h:mm;@">
                  <c:v>6.25E-2</c:v>
                </c:pt>
                <c:pt idx="1">
                  <c:v>7</c:v>
                </c:pt>
                <c:pt idx="2">
                  <c:v>1.5</c:v>
                </c:pt>
                <c:pt idx="3">
                  <c:v>6</c:v>
                </c:pt>
                <c:pt idx="4">
                  <c:v>0</c:v>
                </c:pt>
                <c:pt idx="5" formatCode="0.0">
                  <c:v>1.2857142857142858</c:v>
                </c:pt>
                <c:pt idx="6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FD-4517-8FA1-A1FE6C3FA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98490760"/>
        <c:axId val="698494368"/>
        <c:axId val="0"/>
      </c:bar3DChart>
      <c:catAx>
        <c:axId val="698490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8494368"/>
        <c:crosses val="autoZero"/>
        <c:auto val="1"/>
        <c:lblAlgn val="ctr"/>
        <c:lblOffset val="100"/>
        <c:noMultiLvlLbl val="0"/>
      </c:catAx>
      <c:valAx>
        <c:axId val="69849436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crossAx val="698490760"/>
        <c:crosses val="autoZero"/>
        <c:crossBetween val="between"/>
      </c:valAx>
      <c:dTable>
        <c:showHorzBorder val="0"/>
        <c:showVertBorder val="0"/>
        <c:showOutline val="0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Começo!$C$20</c:f>
              <c:strCache>
                <c:ptCount val="1"/>
                <c:pt idx="0">
                  <c:v>Processo Penal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Começo!$D$13:$J$13</c:f>
              <c:strCache>
                <c:ptCount val="7"/>
                <c:pt idx="0">
                  <c:v>Horas de Estudos </c:v>
                </c:pt>
                <c:pt idx="1">
                  <c:v>Qantidade de Questões</c:v>
                </c:pt>
                <c:pt idx="2">
                  <c:v>Peso</c:v>
                </c:pt>
                <c:pt idx="3">
                  <c:v>Acertos</c:v>
                </c:pt>
                <c:pt idx="4">
                  <c:v>Nivel</c:v>
                </c:pt>
                <c:pt idx="5">
                  <c:v>Pontos</c:v>
                </c:pt>
                <c:pt idx="6">
                  <c:v>Horas Sugeridas á +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Começo!$D$20:$K$20</c15:sqref>
                  </c15:fullRef>
                </c:ext>
              </c:extLst>
              <c:f>Começo!$D$20:$J$20</c:f>
              <c:numCache>
                <c:formatCode>General</c:formatCode>
                <c:ptCount val="7"/>
                <c:pt idx="0" formatCode="h:mm;@">
                  <c:v>6.25E-2</c:v>
                </c:pt>
                <c:pt idx="1">
                  <c:v>7</c:v>
                </c:pt>
                <c:pt idx="2">
                  <c:v>1.5</c:v>
                </c:pt>
                <c:pt idx="3">
                  <c:v>6</c:v>
                </c:pt>
                <c:pt idx="4">
                  <c:v>0</c:v>
                </c:pt>
                <c:pt idx="5" formatCode="0.0">
                  <c:v>1.2857142857142858</c:v>
                </c:pt>
                <c:pt idx="6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D1-472A-A42F-2640912BD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0139640"/>
        <c:axId val="480132424"/>
      </c:barChart>
      <c:catAx>
        <c:axId val="4801396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132424"/>
        <c:crosses val="autoZero"/>
        <c:auto val="1"/>
        <c:lblAlgn val="ctr"/>
        <c:lblOffset val="100"/>
        <c:noMultiLvlLbl val="0"/>
      </c:catAx>
      <c:valAx>
        <c:axId val="48013242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crossAx val="4801396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Começo!$C$21</c:f>
              <c:strCache>
                <c:ptCount val="1"/>
                <c:pt idx="0">
                  <c:v>Direito Administrativo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Começo!$D$13:$J$13</c:f>
              <c:strCache>
                <c:ptCount val="7"/>
                <c:pt idx="0">
                  <c:v>Horas de Estudos </c:v>
                </c:pt>
                <c:pt idx="1">
                  <c:v>Qantidade de Questões</c:v>
                </c:pt>
                <c:pt idx="2">
                  <c:v>Peso</c:v>
                </c:pt>
                <c:pt idx="3">
                  <c:v>Acertos</c:v>
                </c:pt>
                <c:pt idx="4">
                  <c:v>Nivel</c:v>
                </c:pt>
                <c:pt idx="5">
                  <c:v>Pontos</c:v>
                </c:pt>
                <c:pt idx="6">
                  <c:v>Horas Sugeridas á +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Começo!$D$21:$K$21</c15:sqref>
                  </c15:fullRef>
                </c:ext>
              </c:extLst>
              <c:f>Começo!$D$21:$J$21</c:f>
              <c:numCache>
                <c:formatCode>General</c:formatCode>
                <c:ptCount val="7"/>
                <c:pt idx="0" formatCode="h:mm;@">
                  <c:v>0.125</c:v>
                </c:pt>
                <c:pt idx="1">
                  <c:v>13</c:v>
                </c:pt>
                <c:pt idx="2">
                  <c:v>1.5</c:v>
                </c:pt>
                <c:pt idx="3">
                  <c:v>12</c:v>
                </c:pt>
                <c:pt idx="4">
                  <c:v>0</c:v>
                </c:pt>
                <c:pt idx="5" formatCode="0.0">
                  <c:v>1.3846153846153846</c:v>
                </c:pt>
                <c:pt idx="6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2B-4AD0-821D-CCA7C4DE3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98490760"/>
        <c:axId val="698494368"/>
        <c:axId val="0"/>
      </c:bar3DChart>
      <c:catAx>
        <c:axId val="698490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8494368"/>
        <c:crosses val="autoZero"/>
        <c:auto val="1"/>
        <c:lblAlgn val="ctr"/>
        <c:lblOffset val="100"/>
        <c:noMultiLvlLbl val="0"/>
      </c:catAx>
      <c:valAx>
        <c:axId val="69849436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crossAx val="698490760"/>
        <c:crosses val="autoZero"/>
        <c:crossBetween val="between"/>
      </c:valAx>
      <c:dTable>
        <c:showHorzBorder val="0"/>
        <c:showVertBorder val="0"/>
        <c:showOutline val="0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Começo!$C$21</c:f>
              <c:strCache>
                <c:ptCount val="1"/>
                <c:pt idx="0">
                  <c:v>Direito Administrativo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Começo!$D$13:$J$13</c:f>
              <c:strCache>
                <c:ptCount val="7"/>
                <c:pt idx="0">
                  <c:v>Horas de Estudos </c:v>
                </c:pt>
                <c:pt idx="1">
                  <c:v>Qantidade de Questões</c:v>
                </c:pt>
                <c:pt idx="2">
                  <c:v>Peso</c:v>
                </c:pt>
                <c:pt idx="3">
                  <c:v>Acertos</c:v>
                </c:pt>
                <c:pt idx="4">
                  <c:v>Nivel</c:v>
                </c:pt>
                <c:pt idx="5">
                  <c:v>Pontos</c:v>
                </c:pt>
                <c:pt idx="6">
                  <c:v>Horas Sugeridas á +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Começo!$D$21:$K$21</c15:sqref>
                  </c15:fullRef>
                </c:ext>
              </c:extLst>
              <c:f>Começo!$D$21:$J$21</c:f>
              <c:numCache>
                <c:formatCode>General</c:formatCode>
                <c:ptCount val="7"/>
                <c:pt idx="0" formatCode="h:mm;@">
                  <c:v>0.125</c:v>
                </c:pt>
                <c:pt idx="1">
                  <c:v>13</c:v>
                </c:pt>
                <c:pt idx="2">
                  <c:v>1.5</c:v>
                </c:pt>
                <c:pt idx="3">
                  <c:v>12</c:v>
                </c:pt>
                <c:pt idx="4">
                  <c:v>0</c:v>
                </c:pt>
                <c:pt idx="5" formatCode="0.0">
                  <c:v>1.3846153846153846</c:v>
                </c:pt>
                <c:pt idx="6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1F-406E-8CBF-ADBFCD778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0139640"/>
        <c:axId val="480132424"/>
      </c:barChart>
      <c:catAx>
        <c:axId val="4801396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132424"/>
        <c:crosses val="autoZero"/>
        <c:auto val="1"/>
        <c:lblAlgn val="ctr"/>
        <c:lblOffset val="100"/>
        <c:noMultiLvlLbl val="0"/>
      </c:catAx>
      <c:valAx>
        <c:axId val="48013242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crossAx val="4801396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Começo!$C$22</c:f>
              <c:strCache>
                <c:ptCount val="1"/>
                <c:pt idx="0">
                  <c:v>Direito Tributário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Começo!$D$13:$J$13</c:f>
              <c:strCache>
                <c:ptCount val="7"/>
                <c:pt idx="0">
                  <c:v>Horas de Estudos </c:v>
                </c:pt>
                <c:pt idx="1">
                  <c:v>Qantidade de Questões</c:v>
                </c:pt>
                <c:pt idx="2">
                  <c:v>Peso</c:v>
                </c:pt>
                <c:pt idx="3">
                  <c:v>Acertos</c:v>
                </c:pt>
                <c:pt idx="4">
                  <c:v>Nivel</c:v>
                </c:pt>
                <c:pt idx="5">
                  <c:v>Pontos</c:v>
                </c:pt>
                <c:pt idx="6">
                  <c:v>Horas Sugeridas á +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Começo!$D$22:$K$22</c15:sqref>
                  </c15:fullRef>
                </c:ext>
              </c:extLst>
              <c:f>Começo!$D$22:$J$22</c:f>
              <c:numCache>
                <c:formatCode>General</c:formatCode>
                <c:ptCount val="7"/>
                <c:pt idx="0" formatCode="h:mm;@">
                  <c:v>8.3333333333333329E-2</c:v>
                </c:pt>
                <c:pt idx="1">
                  <c:v>6</c:v>
                </c:pt>
                <c:pt idx="2">
                  <c:v>1</c:v>
                </c:pt>
                <c:pt idx="3">
                  <c:v>5</c:v>
                </c:pt>
                <c:pt idx="4">
                  <c:v>0</c:v>
                </c:pt>
                <c:pt idx="5" formatCode="0.0">
                  <c:v>0.83333333333333337</c:v>
                </c:pt>
                <c:pt idx="6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A0-4549-BF5E-934B36EAF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98490760"/>
        <c:axId val="698494368"/>
        <c:axId val="0"/>
      </c:bar3DChart>
      <c:catAx>
        <c:axId val="698490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8494368"/>
        <c:crosses val="autoZero"/>
        <c:auto val="1"/>
        <c:lblAlgn val="ctr"/>
        <c:lblOffset val="100"/>
        <c:noMultiLvlLbl val="0"/>
      </c:catAx>
      <c:valAx>
        <c:axId val="69849436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crossAx val="698490760"/>
        <c:crosses val="autoZero"/>
        <c:crossBetween val="between"/>
      </c:valAx>
      <c:dTable>
        <c:showHorzBorder val="0"/>
        <c:showVertBorder val="0"/>
        <c:showOutline val="0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Começo!$C$22</c:f>
              <c:strCache>
                <c:ptCount val="1"/>
                <c:pt idx="0">
                  <c:v>Direito Tributário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Começo!$D$13:$J$13</c:f>
              <c:strCache>
                <c:ptCount val="7"/>
                <c:pt idx="0">
                  <c:v>Horas de Estudos </c:v>
                </c:pt>
                <c:pt idx="1">
                  <c:v>Qantidade de Questões</c:v>
                </c:pt>
                <c:pt idx="2">
                  <c:v>Peso</c:v>
                </c:pt>
                <c:pt idx="3">
                  <c:v>Acertos</c:v>
                </c:pt>
                <c:pt idx="4">
                  <c:v>Nivel</c:v>
                </c:pt>
                <c:pt idx="5">
                  <c:v>Pontos</c:v>
                </c:pt>
                <c:pt idx="6">
                  <c:v>Horas Sugeridas á +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Começo!$D$22:$K$22</c15:sqref>
                  </c15:fullRef>
                </c:ext>
              </c:extLst>
              <c:f>Começo!$D$22:$J$22</c:f>
              <c:numCache>
                <c:formatCode>General</c:formatCode>
                <c:ptCount val="7"/>
                <c:pt idx="0" formatCode="h:mm;@">
                  <c:v>8.3333333333333329E-2</c:v>
                </c:pt>
                <c:pt idx="1">
                  <c:v>6</c:v>
                </c:pt>
                <c:pt idx="2">
                  <c:v>1</c:v>
                </c:pt>
                <c:pt idx="3">
                  <c:v>5</c:v>
                </c:pt>
                <c:pt idx="4">
                  <c:v>0</c:v>
                </c:pt>
                <c:pt idx="5" formatCode="0.0">
                  <c:v>0.83333333333333337</c:v>
                </c:pt>
                <c:pt idx="6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77-422D-B7C8-C33900982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0139640"/>
        <c:axId val="480132424"/>
      </c:barChart>
      <c:catAx>
        <c:axId val="4801396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132424"/>
        <c:crosses val="autoZero"/>
        <c:auto val="1"/>
        <c:lblAlgn val="ctr"/>
        <c:lblOffset val="100"/>
        <c:noMultiLvlLbl val="0"/>
      </c:catAx>
      <c:valAx>
        <c:axId val="48013242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crossAx val="4801396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Começo!$C$23</c:f>
              <c:strCache>
                <c:ptCount val="1"/>
                <c:pt idx="0">
                  <c:v>Inglês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Começo!$D$13:$J$13</c:f>
              <c:strCache>
                <c:ptCount val="7"/>
                <c:pt idx="0">
                  <c:v>Horas de Estudos </c:v>
                </c:pt>
                <c:pt idx="1">
                  <c:v>Qantidade de Questões</c:v>
                </c:pt>
                <c:pt idx="2">
                  <c:v>Peso</c:v>
                </c:pt>
                <c:pt idx="3">
                  <c:v>Acertos</c:v>
                </c:pt>
                <c:pt idx="4">
                  <c:v>Nivel</c:v>
                </c:pt>
                <c:pt idx="5">
                  <c:v>Pontos</c:v>
                </c:pt>
                <c:pt idx="6">
                  <c:v>Horas Sugeridas á +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Começo!$D$23:$K$23</c15:sqref>
                  </c15:fullRef>
                </c:ext>
              </c:extLst>
              <c:f>Começo!$D$23:$J$23</c:f>
              <c:numCache>
                <c:formatCode>General</c:formatCode>
                <c:ptCount val="7"/>
                <c:pt idx="0" formatCode="h:mm;@">
                  <c:v>4.1666666666666664E-2</c:v>
                </c:pt>
                <c:pt idx="1">
                  <c:v>8</c:v>
                </c:pt>
                <c:pt idx="2">
                  <c:v>1</c:v>
                </c:pt>
                <c:pt idx="3">
                  <c:v>8</c:v>
                </c:pt>
                <c:pt idx="4">
                  <c:v>0</c:v>
                </c:pt>
                <c:pt idx="5" formatCode="0.0">
                  <c:v>1</c:v>
                </c:pt>
                <c:pt idx="6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29-49DA-80EB-DE9F77B266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98490760"/>
        <c:axId val="698494368"/>
        <c:axId val="0"/>
      </c:bar3DChart>
      <c:catAx>
        <c:axId val="698490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8494368"/>
        <c:crosses val="autoZero"/>
        <c:auto val="1"/>
        <c:lblAlgn val="ctr"/>
        <c:lblOffset val="100"/>
        <c:noMultiLvlLbl val="0"/>
      </c:catAx>
      <c:valAx>
        <c:axId val="69849436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crossAx val="698490760"/>
        <c:crosses val="autoZero"/>
        <c:crossBetween val="between"/>
      </c:valAx>
      <c:dTable>
        <c:showHorzBorder val="0"/>
        <c:showVertBorder val="0"/>
        <c:showOutline val="0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Começo!$C$23</c:f>
              <c:strCache>
                <c:ptCount val="1"/>
                <c:pt idx="0">
                  <c:v>Inglês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Começo!$D$13:$J$13</c:f>
              <c:strCache>
                <c:ptCount val="7"/>
                <c:pt idx="0">
                  <c:v>Horas de Estudos </c:v>
                </c:pt>
                <c:pt idx="1">
                  <c:v>Qantidade de Questões</c:v>
                </c:pt>
                <c:pt idx="2">
                  <c:v>Peso</c:v>
                </c:pt>
                <c:pt idx="3">
                  <c:v>Acertos</c:v>
                </c:pt>
                <c:pt idx="4">
                  <c:v>Nivel</c:v>
                </c:pt>
                <c:pt idx="5">
                  <c:v>Pontos</c:v>
                </c:pt>
                <c:pt idx="6">
                  <c:v>Horas Sugeridas á +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Começo!$D$23:$K$23</c15:sqref>
                  </c15:fullRef>
                </c:ext>
              </c:extLst>
              <c:f>Começo!$D$23:$J$23</c:f>
              <c:numCache>
                <c:formatCode>General</c:formatCode>
                <c:ptCount val="7"/>
                <c:pt idx="0" formatCode="h:mm;@">
                  <c:v>4.1666666666666664E-2</c:v>
                </c:pt>
                <c:pt idx="1">
                  <c:v>8</c:v>
                </c:pt>
                <c:pt idx="2">
                  <c:v>1</c:v>
                </c:pt>
                <c:pt idx="3">
                  <c:v>8</c:v>
                </c:pt>
                <c:pt idx="4">
                  <c:v>0</c:v>
                </c:pt>
                <c:pt idx="5" formatCode="0.0">
                  <c:v>1</c:v>
                </c:pt>
                <c:pt idx="6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09-407E-806B-9E14A0F57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0139640"/>
        <c:axId val="480132424"/>
      </c:barChart>
      <c:catAx>
        <c:axId val="4801396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132424"/>
        <c:crosses val="autoZero"/>
        <c:auto val="1"/>
        <c:lblAlgn val="ctr"/>
        <c:lblOffset val="100"/>
        <c:noMultiLvlLbl val="0"/>
      </c:catAx>
      <c:valAx>
        <c:axId val="48013242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crossAx val="4801396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Começo!$C$24</c:f>
              <c:strCache>
                <c:ptCount val="1"/>
                <c:pt idx="0">
                  <c:v>Análise de Sistemas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Começo!$D$13:$J$13</c:f>
              <c:strCache>
                <c:ptCount val="7"/>
                <c:pt idx="0">
                  <c:v>Horas de Estudos </c:v>
                </c:pt>
                <c:pt idx="1">
                  <c:v>Qantidade de Questões</c:v>
                </c:pt>
                <c:pt idx="2">
                  <c:v>Peso</c:v>
                </c:pt>
                <c:pt idx="3">
                  <c:v>Acertos</c:v>
                </c:pt>
                <c:pt idx="4">
                  <c:v>Nivel</c:v>
                </c:pt>
                <c:pt idx="5">
                  <c:v>Pontos</c:v>
                </c:pt>
                <c:pt idx="6">
                  <c:v>Horas Sugeridas á +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Começo!$D$24:$K$24</c15:sqref>
                  </c15:fullRef>
                </c:ext>
              </c:extLst>
              <c:f>Começo!$D$24:$J$24</c:f>
              <c:numCache>
                <c:formatCode>General</c:formatCode>
                <c:ptCount val="7"/>
                <c:pt idx="0" formatCode="h:mm;@">
                  <c:v>0.10416666666666667</c:v>
                </c:pt>
                <c:pt idx="1">
                  <c:v>17</c:v>
                </c:pt>
                <c:pt idx="2">
                  <c:v>2</c:v>
                </c:pt>
                <c:pt idx="3">
                  <c:v>14</c:v>
                </c:pt>
                <c:pt idx="4">
                  <c:v>0</c:v>
                </c:pt>
                <c:pt idx="5" formatCode="0.0">
                  <c:v>1.6470588235294117</c:v>
                </c:pt>
                <c:pt idx="6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A7-47BD-9B2D-2A3A116C7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98490760"/>
        <c:axId val="698494368"/>
        <c:axId val="0"/>
      </c:bar3DChart>
      <c:catAx>
        <c:axId val="698490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8494368"/>
        <c:crosses val="autoZero"/>
        <c:auto val="1"/>
        <c:lblAlgn val="ctr"/>
        <c:lblOffset val="100"/>
        <c:noMultiLvlLbl val="0"/>
      </c:catAx>
      <c:valAx>
        <c:axId val="69849436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crossAx val="698490760"/>
        <c:crosses val="autoZero"/>
        <c:crossBetween val="between"/>
      </c:valAx>
      <c:dTable>
        <c:showHorzBorder val="0"/>
        <c:showVertBorder val="0"/>
        <c:showOutline val="0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Começo!$C$24</c:f>
              <c:strCache>
                <c:ptCount val="1"/>
                <c:pt idx="0">
                  <c:v>Análise de Sistemas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Começo!$D$13:$J$13</c:f>
              <c:strCache>
                <c:ptCount val="7"/>
                <c:pt idx="0">
                  <c:v>Horas de Estudos </c:v>
                </c:pt>
                <c:pt idx="1">
                  <c:v>Qantidade de Questões</c:v>
                </c:pt>
                <c:pt idx="2">
                  <c:v>Peso</c:v>
                </c:pt>
                <c:pt idx="3">
                  <c:v>Acertos</c:v>
                </c:pt>
                <c:pt idx="4">
                  <c:v>Nivel</c:v>
                </c:pt>
                <c:pt idx="5">
                  <c:v>Pontos</c:v>
                </c:pt>
                <c:pt idx="6">
                  <c:v>Horas Sugeridas á +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Começo!$D$24:$K$24</c15:sqref>
                  </c15:fullRef>
                </c:ext>
              </c:extLst>
              <c:f>Começo!$D$24:$J$24</c:f>
              <c:numCache>
                <c:formatCode>General</c:formatCode>
                <c:ptCount val="7"/>
                <c:pt idx="0" formatCode="h:mm;@">
                  <c:v>0.10416666666666667</c:v>
                </c:pt>
                <c:pt idx="1">
                  <c:v>17</c:v>
                </c:pt>
                <c:pt idx="2">
                  <c:v>2</c:v>
                </c:pt>
                <c:pt idx="3">
                  <c:v>14</c:v>
                </c:pt>
                <c:pt idx="4">
                  <c:v>0</c:v>
                </c:pt>
                <c:pt idx="5" formatCode="0.0">
                  <c:v>1.6470588235294117</c:v>
                </c:pt>
                <c:pt idx="6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6A-4B98-BA92-FC7B5DD79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0139640"/>
        <c:axId val="480132424"/>
      </c:barChart>
      <c:catAx>
        <c:axId val="4801396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132424"/>
        <c:crosses val="autoZero"/>
        <c:auto val="1"/>
        <c:lblAlgn val="ctr"/>
        <c:lblOffset val="100"/>
        <c:noMultiLvlLbl val="0"/>
      </c:catAx>
      <c:valAx>
        <c:axId val="48013242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crossAx val="4801396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Começo!$C$25</c:f>
              <c:strCache>
                <c:ptCount val="1"/>
                <c:pt idx="0">
                  <c:v>Direito Legislativo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Começo!$D$13:$J$13</c:f>
              <c:strCache>
                <c:ptCount val="7"/>
                <c:pt idx="0">
                  <c:v>Horas de Estudos </c:v>
                </c:pt>
                <c:pt idx="1">
                  <c:v>Qantidade de Questões</c:v>
                </c:pt>
                <c:pt idx="2">
                  <c:v>Peso</c:v>
                </c:pt>
                <c:pt idx="3">
                  <c:v>Acertos</c:v>
                </c:pt>
                <c:pt idx="4">
                  <c:v>Nivel</c:v>
                </c:pt>
                <c:pt idx="5">
                  <c:v>Pontos</c:v>
                </c:pt>
                <c:pt idx="6">
                  <c:v>Horas Sugeridas á +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Começo!$D$25:$K$25</c15:sqref>
                  </c15:fullRef>
                </c:ext>
              </c:extLst>
              <c:f>Começo!$D$25:$J$25</c:f>
              <c:numCache>
                <c:formatCode>General</c:formatCode>
                <c:ptCount val="7"/>
                <c:pt idx="0" formatCode="h:mm;@">
                  <c:v>4.1666666666666664E-2</c:v>
                </c:pt>
                <c:pt idx="1">
                  <c:v>14</c:v>
                </c:pt>
                <c:pt idx="2">
                  <c:v>2.5</c:v>
                </c:pt>
                <c:pt idx="3">
                  <c:v>13</c:v>
                </c:pt>
                <c:pt idx="4">
                  <c:v>0</c:v>
                </c:pt>
                <c:pt idx="5" formatCode="0.0">
                  <c:v>2.3214285714285716</c:v>
                </c:pt>
                <c:pt idx="6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8A-416C-9E74-8891E49CC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98490760"/>
        <c:axId val="698494368"/>
        <c:axId val="0"/>
      </c:bar3DChart>
      <c:catAx>
        <c:axId val="698490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8494368"/>
        <c:crosses val="autoZero"/>
        <c:auto val="1"/>
        <c:lblAlgn val="ctr"/>
        <c:lblOffset val="100"/>
        <c:noMultiLvlLbl val="0"/>
      </c:catAx>
      <c:valAx>
        <c:axId val="69849436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crossAx val="698490760"/>
        <c:crosses val="autoZero"/>
        <c:crossBetween val="between"/>
      </c:valAx>
      <c:dTable>
        <c:showHorzBorder val="0"/>
        <c:showVertBorder val="0"/>
        <c:showOutline val="0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Começo!$C$25</c:f>
              <c:strCache>
                <c:ptCount val="1"/>
                <c:pt idx="0">
                  <c:v>Direito Legislativo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Começo!$D$13:$J$13</c:f>
              <c:strCache>
                <c:ptCount val="7"/>
                <c:pt idx="0">
                  <c:v>Horas de Estudos </c:v>
                </c:pt>
                <c:pt idx="1">
                  <c:v>Qantidade de Questões</c:v>
                </c:pt>
                <c:pt idx="2">
                  <c:v>Peso</c:v>
                </c:pt>
                <c:pt idx="3">
                  <c:v>Acertos</c:v>
                </c:pt>
                <c:pt idx="4">
                  <c:v>Nivel</c:v>
                </c:pt>
                <c:pt idx="5">
                  <c:v>Pontos</c:v>
                </c:pt>
                <c:pt idx="6">
                  <c:v>Horas Sugeridas á +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Começo!$D$25:$K$25</c15:sqref>
                  </c15:fullRef>
                </c:ext>
              </c:extLst>
              <c:f>Começo!$D$25:$J$25</c:f>
              <c:numCache>
                <c:formatCode>General</c:formatCode>
                <c:ptCount val="7"/>
                <c:pt idx="0" formatCode="h:mm;@">
                  <c:v>4.1666666666666664E-2</c:v>
                </c:pt>
                <c:pt idx="1">
                  <c:v>14</c:v>
                </c:pt>
                <c:pt idx="2">
                  <c:v>2.5</c:v>
                </c:pt>
                <c:pt idx="3">
                  <c:v>13</c:v>
                </c:pt>
                <c:pt idx="4">
                  <c:v>0</c:v>
                </c:pt>
                <c:pt idx="5" formatCode="0.0">
                  <c:v>2.3214285714285716</c:v>
                </c:pt>
                <c:pt idx="6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6D-466B-8150-79880042A8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0139640"/>
        <c:axId val="480132424"/>
      </c:barChart>
      <c:catAx>
        <c:axId val="4801396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132424"/>
        <c:crosses val="autoZero"/>
        <c:auto val="1"/>
        <c:lblAlgn val="ctr"/>
        <c:lblOffset val="100"/>
        <c:noMultiLvlLbl val="0"/>
      </c:catAx>
      <c:valAx>
        <c:axId val="48013242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crossAx val="4801396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Começo!$C$26</c:f>
              <c:strCache>
                <c:ptCount val="1"/>
                <c:pt idx="0">
                  <c:v>Mecânica dos Fluídos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Começo!$D$13:$J$13</c:f>
              <c:strCache>
                <c:ptCount val="7"/>
                <c:pt idx="0">
                  <c:v>Horas de Estudos </c:v>
                </c:pt>
                <c:pt idx="1">
                  <c:v>Qantidade de Questões</c:v>
                </c:pt>
                <c:pt idx="2">
                  <c:v>Peso</c:v>
                </c:pt>
                <c:pt idx="3">
                  <c:v>Acertos</c:v>
                </c:pt>
                <c:pt idx="4">
                  <c:v>Nivel</c:v>
                </c:pt>
                <c:pt idx="5">
                  <c:v>Pontos</c:v>
                </c:pt>
                <c:pt idx="6">
                  <c:v>Horas Sugeridas á +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Começo!$D$26:$K$26</c15:sqref>
                  </c15:fullRef>
                </c:ext>
              </c:extLst>
              <c:f>Começo!$D$26:$J$26</c:f>
              <c:numCache>
                <c:formatCode>General</c:formatCode>
                <c:ptCount val="7"/>
                <c:pt idx="0" formatCode="h:mm;@">
                  <c:v>0.125</c:v>
                </c:pt>
                <c:pt idx="1">
                  <c:v>10</c:v>
                </c:pt>
                <c:pt idx="2">
                  <c:v>1.5</c:v>
                </c:pt>
                <c:pt idx="3">
                  <c:v>5</c:v>
                </c:pt>
                <c:pt idx="4">
                  <c:v>0</c:v>
                </c:pt>
                <c:pt idx="5" formatCode="0.0">
                  <c:v>0.75</c:v>
                </c:pt>
                <c:pt idx="6" formatCode="[h]:mm:ss;@">
                  <c:v>1.0416666666666667E-3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5D-4D7B-80EC-7779A8787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98490760"/>
        <c:axId val="698494368"/>
        <c:axId val="0"/>
      </c:bar3DChart>
      <c:catAx>
        <c:axId val="698490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8494368"/>
        <c:crosses val="autoZero"/>
        <c:auto val="1"/>
        <c:lblAlgn val="ctr"/>
        <c:lblOffset val="100"/>
        <c:noMultiLvlLbl val="0"/>
      </c:catAx>
      <c:valAx>
        <c:axId val="69849436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crossAx val="698490760"/>
        <c:crosses val="autoZero"/>
        <c:crossBetween val="between"/>
      </c:valAx>
      <c:dTable>
        <c:showHorzBorder val="0"/>
        <c:showVertBorder val="0"/>
        <c:showOutline val="0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Começo!$C$26</c:f>
              <c:strCache>
                <c:ptCount val="1"/>
                <c:pt idx="0">
                  <c:v>Mecânica dos Fluídos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Começo!$D$13:$J$13</c:f>
              <c:strCache>
                <c:ptCount val="7"/>
                <c:pt idx="0">
                  <c:v>Horas de Estudos </c:v>
                </c:pt>
                <c:pt idx="1">
                  <c:v>Qantidade de Questões</c:v>
                </c:pt>
                <c:pt idx="2">
                  <c:v>Peso</c:v>
                </c:pt>
                <c:pt idx="3">
                  <c:v>Acertos</c:v>
                </c:pt>
                <c:pt idx="4">
                  <c:v>Nivel</c:v>
                </c:pt>
                <c:pt idx="5">
                  <c:v>Pontos</c:v>
                </c:pt>
                <c:pt idx="6">
                  <c:v>Horas Sugeridas á +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Começo!$D$26:$K$26</c15:sqref>
                  </c15:fullRef>
                </c:ext>
              </c:extLst>
              <c:f>Começo!$D$26:$J$26</c:f>
              <c:numCache>
                <c:formatCode>General</c:formatCode>
                <c:ptCount val="7"/>
                <c:pt idx="0" formatCode="h:mm;@">
                  <c:v>0.125</c:v>
                </c:pt>
                <c:pt idx="1">
                  <c:v>10</c:v>
                </c:pt>
                <c:pt idx="2">
                  <c:v>1.5</c:v>
                </c:pt>
                <c:pt idx="3">
                  <c:v>5</c:v>
                </c:pt>
                <c:pt idx="4">
                  <c:v>0</c:v>
                </c:pt>
                <c:pt idx="5" formatCode="0.0">
                  <c:v>0.75</c:v>
                </c:pt>
                <c:pt idx="6" formatCode="[h]:mm:ss;@">
                  <c:v>1.0416666666666667E-3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92-4107-A5EE-A980802BB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0139640"/>
        <c:axId val="480132424"/>
      </c:barChart>
      <c:catAx>
        <c:axId val="4801396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132424"/>
        <c:crosses val="autoZero"/>
        <c:auto val="1"/>
        <c:lblAlgn val="ctr"/>
        <c:lblOffset val="100"/>
        <c:noMultiLvlLbl val="0"/>
      </c:catAx>
      <c:valAx>
        <c:axId val="48013242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crossAx val="4801396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Começo!$C$27</c:f>
              <c:strCache>
                <c:ptCount val="1"/>
                <c:pt idx="0">
                  <c:v>IoT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Começo!$D$13:$J$13</c:f>
              <c:strCache>
                <c:ptCount val="7"/>
                <c:pt idx="0">
                  <c:v>Horas de Estudos </c:v>
                </c:pt>
                <c:pt idx="1">
                  <c:v>Qantidade de Questões</c:v>
                </c:pt>
                <c:pt idx="2">
                  <c:v>Peso</c:v>
                </c:pt>
                <c:pt idx="3">
                  <c:v>Acertos</c:v>
                </c:pt>
                <c:pt idx="4">
                  <c:v>Nivel</c:v>
                </c:pt>
                <c:pt idx="5">
                  <c:v>Pontos</c:v>
                </c:pt>
                <c:pt idx="6">
                  <c:v>Horas Sugeridas á +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Começo!$D$27:$K$27</c15:sqref>
                  </c15:fullRef>
                </c:ext>
              </c:extLst>
              <c:f>Começo!$D$27:$J$27</c:f>
              <c:numCache>
                <c:formatCode>General</c:formatCode>
                <c:ptCount val="7"/>
                <c:pt idx="0" formatCode="h:mm;@">
                  <c:v>8.3333333333333329E-2</c:v>
                </c:pt>
                <c:pt idx="1">
                  <c:v>13</c:v>
                </c:pt>
                <c:pt idx="2">
                  <c:v>1</c:v>
                </c:pt>
                <c:pt idx="3">
                  <c:v>13</c:v>
                </c:pt>
                <c:pt idx="4">
                  <c:v>0</c:v>
                </c:pt>
                <c:pt idx="5" formatCode="0.0">
                  <c:v>1</c:v>
                </c:pt>
                <c:pt idx="6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3-449A-BCB0-015B471AE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98490760"/>
        <c:axId val="698494368"/>
        <c:axId val="0"/>
      </c:bar3DChart>
      <c:catAx>
        <c:axId val="698490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8494368"/>
        <c:crosses val="autoZero"/>
        <c:auto val="1"/>
        <c:lblAlgn val="ctr"/>
        <c:lblOffset val="100"/>
        <c:noMultiLvlLbl val="0"/>
      </c:catAx>
      <c:valAx>
        <c:axId val="69849436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crossAx val="698490760"/>
        <c:crosses val="autoZero"/>
        <c:crossBetween val="between"/>
      </c:valAx>
      <c:dTable>
        <c:showHorzBorder val="0"/>
        <c:showVertBorder val="0"/>
        <c:showOutline val="0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Começo!$C$27</c:f>
              <c:strCache>
                <c:ptCount val="1"/>
                <c:pt idx="0">
                  <c:v>IoT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Começo!$D$13:$J$13</c:f>
              <c:strCache>
                <c:ptCount val="7"/>
                <c:pt idx="0">
                  <c:v>Horas de Estudos </c:v>
                </c:pt>
                <c:pt idx="1">
                  <c:v>Qantidade de Questões</c:v>
                </c:pt>
                <c:pt idx="2">
                  <c:v>Peso</c:v>
                </c:pt>
                <c:pt idx="3">
                  <c:v>Acertos</c:v>
                </c:pt>
                <c:pt idx="4">
                  <c:v>Nivel</c:v>
                </c:pt>
                <c:pt idx="5">
                  <c:v>Pontos</c:v>
                </c:pt>
                <c:pt idx="6">
                  <c:v>Horas Sugeridas á +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Começo!$D$27:$K$27</c15:sqref>
                  </c15:fullRef>
                </c:ext>
              </c:extLst>
              <c:f>Começo!$D$27:$J$27</c:f>
              <c:numCache>
                <c:formatCode>General</c:formatCode>
                <c:ptCount val="7"/>
                <c:pt idx="0" formatCode="h:mm;@">
                  <c:v>8.3333333333333329E-2</c:v>
                </c:pt>
                <c:pt idx="1">
                  <c:v>13</c:v>
                </c:pt>
                <c:pt idx="2">
                  <c:v>1</c:v>
                </c:pt>
                <c:pt idx="3">
                  <c:v>13</c:v>
                </c:pt>
                <c:pt idx="4">
                  <c:v>0</c:v>
                </c:pt>
                <c:pt idx="5" formatCode="0.0">
                  <c:v>1</c:v>
                </c:pt>
                <c:pt idx="6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85-45FE-958C-9D0D0991B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0139640"/>
        <c:axId val="480132424"/>
      </c:barChart>
      <c:catAx>
        <c:axId val="4801396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132424"/>
        <c:crosses val="autoZero"/>
        <c:auto val="1"/>
        <c:lblAlgn val="ctr"/>
        <c:lblOffset val="100"/>
        <c:noMultiLvlLbl val="0"/>
      </c:catAx>
      <c:valAx>
        <c:axId val="48013242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crossAx val="4801396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Começo!$C$28</c:f>
              <c:strCache>
                <c:ptCount val="1"/>
                <c:pt idx="0">
                  <c:v>Astrologia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Começo!$D$13:$J$13</c:f>
              <c:strCache>
                <c:ptCount val="7"/>
                <c:pt idx="0">
                  <c:v>Horas de Estudos </c:v>
                </c:pt>
                <c:pt idx="1">
                  <c:v>Qantidade de Questões</c:v>
                </c:pt>
                <c:pt idx="2">
                  <c:v>Peso</c:v>
                </c:pt>
                <c:pt idx="3">
                  <c:v>Acertos</c:v>
                </c:pt>
                <c:pt idx="4">
                  <c:v>Nivel</c:v>
                </c:pt>
                <c:pt idx="5">
                  <c:v>Pontos</c:v>
                </c:pt>
                <c:pt idx="6">
                  <c:v>Horas Sugeridas á +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Começo!$D$28:$K$28</c15:sqref>
                  </c15:fullRef>
                </c:ext>
              </c:extLst>
              <c:f>Começo!$D$28:$J$28</c:f>
              <c:numCache>
                <c:formatCode>General</c:formatCode>
                <c:ptCount val="7"/>
                <c:pt idx="0" formatCode="h:mm;@">
                  <c:v>6.25E-2</c:v>
                </c:pt>
                <c:pt idx="1">
                  <c:v>5</c:v>
                </c:pt>
                <c:pt idx="2">
                  <c:v>1</c:v>
                </c:pt>
                <c:pt idx="3">
                  <c:v>5</c:v>
                </c:pt>
                <c:pt idx="4">
                  <c:v>0</c:v>
                </c:pt>
                <c:pt idx="5" formatCode="0.0">
                  <c:v>1</c:v>
                </c:pt>
                <c:pt idx="6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99-413B-AB66-66DCDF70BF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98490760"/>
        <c:axId val="698494368"/>
        <c:axId val="0"/>
      </c:bar3DChart>
      <c:catAx>
        <c:axId val="698490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8494368"/>
        <c:crosses val="autoZero"/>
        <c:auto val="1"/>
        <c:lblAlgn val="ctr"/>
        <c:lblOffset val="100"/>
        <c:noMultiLvlLbl val="0"/>
      </c:catAx>
      <c:valAx>
        <c:axId val="69849436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crossAx val="698490760"/>
        <c:crosses val="autoZero"/>
        <c:crossBetween val="between"/>
      </c:valAx>
      <c:dTable>
        <c:showHorzBorder val="0"/>
        <c:showVertBorder val="0"/>
        <c:showOutline val="0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Começo!$C$28</c:f>
              <c:strCache>
                <c:ptCount val="1"/>
                <c:pt idx="0">
                  <c:v>Astrologia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Começo!$D$13:$J$13</c:f>
              <c:strCache>
                <c:ptCount val="7"/>
                <c:pt idx="0">
                  <c:v>Horas de Estudos </c:v>
                </c:pt>
                <c:pt idx="1">
                  <c:v>Qantidade de Questões</c:v>
                </c:pt>
                <c:pt idx="2">
                  <c:v>Peso</c:v>
                </c:pt>
                <c:pt idx="3">
                  <c:v>Acertos</c:v>
                </c:pt>
                <c:pt idx="4">
                  <c:v>Nivel</c:v>
                </c:pt>
                <c:pt idx="5">
                  <c:v>Pontos</c:v>
                </c:pt>
                <c:pt idx="6">
                  <c:v>Horas Sugeridas á +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Começo!$D$28:$K$28</c15:sqref>
                  </c15:fullRef>
                </c:ext>
              </c:extLst>
              <c:f>Começo!$D$28:$J$28</c:f>
              <c:numCache>
                <c:formatCode>General</c:formatCode>
                <c:ptCount val="7"/>
                <c:pt idx="0" formatCode="h:mm;@">
                  <c:v>6.25E-2</c:v>
                </c:pt>
                <c:pt idx="1">
                  <c:v>5</c:v>
                </c:pt>
                <c:pt idx="2">
                  <c:v>1</c:v>
                </c:pt>
                <c:pt idx="3">
                  <c:v>5</c:v>
                </c:pt>
                <c:pt idx="4">
                  <c:v>0</c:v>
                </c:pt>
                <c:pt idx="5" formatCode="0.0">
                  <c:v>1</c:v>
                </c:pt>
                <c:pt idx="6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B8-4787-9276-D74E89BDC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0139640"/>
        <c:axId val="480132424"/>
      </c:barChart>
      <c:catAx>
        <c:axId val="4801396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132424"/>
        <c:crosses val="autoZero"/>
        <c:auto val="1"/>
        <c:lblAlgn val="ctr"/>
        <c:lblOffset val="100"/>
        <c:noMultiLvlLbl val="0"/>
      </c:catAx>
      <c:valAx>
        <c:axId val="48013242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crossAx val="4801396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Começo!$C$29</c:f>
              <c:strCache>
                <c:ptCount val="1"/>
                <c:pt idx="0">
                  <c:v>Colorimetria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Começo!$D$13:$J$13</c:f>
              <c:strCache>
                <c:ptCount val="7"/>
                <c:pt idx="0">
                  <c:v>Horas de Estudos </c:v>
                </c:pt>
                <c:pt idx="1">
                  <c:v>Qantidade de Questões</c:v>
                </c:pt>
                <c:pt idx="2">
                  <c:v>Peso</c:v>
                </c:pt>
                <c:pt idx="3">
                  <c:v>Acertos</c:v>
                </c:pt>
                <c:pt idx="4">
                  <c:v>Nivel</c:v>
                </c:pt>
                <c:pt idx="5">
                  <c:v>Pontos</c:v>
                </c:pt>
                <c:pt idx="6">
                  <c:v>Horas Sugeridas á +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Começo!$D$29:$K$29</c15:sqref>
                  </c15:fullRef>
                </c:ext>
              </c:extLst>
              <c:f>Começo!$D$29:$J$29</c:f>
              <c:numCache>
                <c:formatCode>General</c:formatCode>
                <c:ptCount val="7"/>
                <c:pt idx="0" formatCode="h:mm;@">
                  <c:v>4.1666666666666664E-2</c:v>
                </c:pt>
                <c:pt idx="1">
                  <c:v>6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 formatCode="0.0">
                  <c:v>0.66666666666666663</c:v>
                </c:pt>
                <c:pt idx="6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07-43FA-A4A8-DA4129377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98490760"/>
        <c:axId val="698494368"/>
        <c:axId val="0"/>
      </c:bar3DChart>
      <c:catAx>
        <c:axId val="698490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8494368"/>
        <c:crosses val="autoZero"/>
        <c:auto val="1"/>
        <c:lblAlgn val="ctr"/>
        <c:lblOffset val="100"/>
        <c:noMultiLvlLbl val="0"/>
      </c:catAx>
      <c:valAx>
        <c:axId val="69849436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crossAx val="698490760"/>
        <c:crosses val="autoZero"/>
        <c:crossBetween val="between"/>
      </c:valAx>
      <c:dTable>
        <c:showHorzBorder val="0"/>
        <c:showVertBorder val="0"/>
        <c:showOutline val="0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Começo!$C$29</c:f>
              <c:strCache>
                <c:ptCount val="1"/>
                <c:pt idx="0">
                  <c:v>Colorimetria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Começo!$D$13:$K$13</c15:sqref>
                  </c15:fullRef>
                </c:ext>
              </c:extLst>
              <c:f>Começo!$D$13:$J$13</c:f>
              <c:strCache>
                <c:ptCount val="7"/>
                <c:pt idx="0">
                  <c:v>Horas de Estudos </c:v>
                </c:pt>
                <c:pt idx="1">
                  <c:v>Qantidade de Questões</c:v>
                </c:pt>
                <c:pt idx="2">
                  <c:v>Peso</c:v>
                </c:pt>
                <c:pt idx="3">
                  <c:v>Acertos</c:v>
                </c:pt>
                <c:pt idx="4">
                  <c:v>Nivel</c:v>
                </c:pt>
                <c:pt idx="5">
                  <c:v>Pontos</c:v>
                </c:pt>
                <c:pt idx="6">
                  <c:v>Horas Sugeridas á +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Começo!$D$29:$K$29</c15:sqref>
                  </c15:fullRef>
                </c:ext>
              </c:extLst>
              <c:f>Começo!$D$29:$J$29</c:f>
              <c:numCache>
                <c:formatCode>General</c:formatCode>
                <c:ptCount val="7"/>
                <c:pt idx="0" formatCode="h:mm;@">
                  <c:v>4.1666666666666664E-2</c:v>
                </c:pt>
                <c:pt idx="1">
                  <c:v>6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 formatCode="0.0">
                  <c:v>0.66666666666666663</c:v>
                </c:pt>
                <c:pt idx="6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55-48E3-9BC3-9AEC003476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0139640"/>
        <c:axId val="480132424"/>
      </c:barChart>
      <c:catAx>
        <c:axId val="4801396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132424"/>
        <c:crosses val="autoZero"/>
        <c:auto val="1"/>
        <c:lblAlgn val="ctr"/>
        <c:lblOffset val="100"/>
        <c:noMultiLvlLbl val="0"/>
      </c:catAx>
      <c:valAx>
        <c:axId val="48013242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crossAx val="4801396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56E11B5-30E5-4906-8654-793000220683}">
  <sheetPr codeName="Gráfico1"/>
  <sheetViews>
    <sheetView zoomScale="118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6A5F0CC-4692-4481-BB69-3B7A43F8EA77}">
  <sheetPr/>
  <sheetViews>
    <sheetView zoomScale="118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Desempenho!A1"/><Relationship Id="rId7" Type="http://schemas.openxmlformats.org/officeDocument/2006/relationships/hyperlink" Target="mailto:ewertondrigues02@gmail.com?subject=Planilhas%20de%20Estudos%20para%20Concursos" TargetMode="External"/><Relationship Id="rId2" Type="http://schemas.openxmlformats.org/officeDocument/2006/relationships/hyperlink" Target="#Conteudo!A1"/><Relationship Id="rId1" Type="http://schemas.openxmlformats.org/officeDocument/2006/relationships/hyperlink" Target="#Come&#231;o!A1"/><Relationship Id="rId6" Type="http://schemas.openxmlformats.org/officeDocument/2006/relationships/chart" Target="../charts/chart3.xml"/><Relationship Id="rId5" Type="http://schemas.openxmlformats.org/officeDocument/2006/relationships/hyperlink" Target="#Resultados!A1"/><Relationship Id="rId4" Type="http://schemas.openxmlformats.org/officeDocument/2006/relationships/hyperlink" Target="#'Quadro Horario 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Desempenho!A1"/><Relationship Id="rId7" Type="http://schemas.openxmlformats.org/officeDocument/2006/relationships/image" Target="../media/image2.png"/><Relationship Id="rId2" Type="http://schemas.openxmlformats.org/officeDocument/2006/relationships/hyperlink" Target="#Conteudo!A1"/><Relationship Id="rId1" Type="http://schemas.openxmlformats.org/officeDocument/2006/relationships/hyperlink" Target="#Come&#231;o!A1"/><Relationship Id="rId6" Type="http://schemas.openxmlformats.org/officeDocument/2006/relationships/hyperlink" Target="mailto:ewertondrigues02@gmail.com?subject=Planilhas%20de%20Estudos%20para%20Concursos" TargetMode="External"/><Relationship Id="rId5" Type="http://schemas.openxmlformats.org/officeDocument/2006/relationships/hyperlink" Target="#Resultados!A1"/><Relationship Id="rId4" Type="http://schemas.openxmlformats.org/officeDocument/2006/relationships/hyperlink" Target="#'Quadro Horario 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Desempenho!A1"/><Relationship Id="rId7" Type="http://schemas.openxmlformats.org/officeDocument/2006/relationships/image" Target="../media/image2.png"/><Relationship Id="rId2" Type="http://schemas.openxmlformats.org/officeDocument/2006/relationships/hyperlink" Target="#Conteudo!A1"/><Relationship Id="rId1" Type="http://schemas.openxmlformats.org/officeDocument/2006/relationships/hyperlink" Target="#Come&#231;o!A1"/><Relationship Id="rId6" Type="http://schemas.openxmlformats.org/officeDocument/2006/relationships/hyperlink" Target="mailto:ewertondrigues02@gmail.com?subject=Planilhas%20de%20Estudos%20para%20Concursos" TargetMode="External"/><Relationship Id="rId5" Type="http://schemas.openxmlformats.org/officeDocument/2006/relationships/hyperlink" Target="#Resultados!A1"/><Relationship Id="rId4" Type="http://schemas.openxmlformats.org/officeDocument/2006/relationships/hyperlink" Target="#'Quadro Horario 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esempenho!A1"/><Relationship Id="rId7" Type="http://schemas.openxmlformats.org/officeDocument/2006/relationships/image" Target="../media/image2.png"/><Relationship Id="rId2" Type="http://schemas.openxmlformats.org/officeDocument/2006/relationships/hyperlink" Target="#Conteudo!A1"/><Relationship Id="rId1" Type="http://schemas.openxmlformats.org/officeDocument/2006/relationships/hyperlink" Target="#Come&#231;o!A1"/><Relationship Id="rId6" Type="http://schemas.openxmlformats.org/officeDocument/2006/relationships/hyperlink" Target="mailto:ewertondrigues02@gmail.com?subject=Planilhas%20de%20Estudos%20para%20Concursos" TargetMode="External"/><Relationship Id="rId5" Type="http://schemas.openxmlformats.org/officeDocument/2006/relationships/hyperlink" Target="#Resultados!A1"/><Relationship Id="rId4" Type="http://schemas.openxmlformats.org/officeDocument/2006/relationships/hyperlink" Target="#'Quadro Horario 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Desempenho!A1"/><Relationship Id="rId7" Type="http://schemas.openxmlformats.org/officeDocument/2006/relationships/hyperlink" Target="mailto:ewertondrigues02@gmail.com?subject=Planilhas%20de%20Estudos%20para%20Concursos" TargetMode="External"/><Relationship Id="rId2" Type="http://schemas.openxmlformats.org/officeDocument/2006/relationships/hyperlink" Target="#Conteudo!A1"/><Relationship Id="rId1" Type="http://schemas.openxmlformats.org/officeDocument/2006/relationships/hyperlink" Target="#Come&#231;o!A1"/><Relationship Id="rId6" Type="http://schemas.openxmlformats.org/officeDocument/2006/relationships/chart" Target="../charts/chart4.xml"/><Relationship Id="rId5" Type="http://schemas.openxmlformats.org/officeDocument/2006/relationships/hyperlink" Target="#Resultados!A1"/><Relationship Id="rId4" Type="http://schemas.openxmlformats.org/officeDocument/2006/relationships/hyperlink" Target="#'Quadro Horario 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mailto:ewertondrigues02@gmail.com?subject=Planilhas%20de%20Estudos%20para%20Concursos" TargetMode="Externa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mailto:ewertondrigues02@gmail.com?subject=Planilhas%20de%20Estudos%20para%20Concursos" TargetMode="Externa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mailto:ewertondrigues02@gmail.com?subject=Planilhas%20de%20Estudos%20para%20Concursos" TargetMode="Externa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mailto:ewertondrigues02@gmail.com?subject=Planilhas%20de%20Estudos%20para%20Concursos" TargetMode="Externa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mailto:ewertondrigues02@gmail.com?subject=Planilhas%20de%20Estudos%20para%20Concursos" TargetMode="Externa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mailto:ewertondrigues02@gmail.com?subject=Planilhas%20de%20Estudos%20para%20Concursos" TargetMode="Externa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mailto:ewertondrigues02@gmail.com?subject=Planilhas%20de%20Estudos%20para%20Concursos" TargetMode="Externa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mailto:ewertondrigues02@gmail.com?subject=Planilhas%20de%20Estudos%20para%20Concursos" TargetMode="Externa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mailto:ewertondrigues02@gmail.com?subject=Planilhas%20de%20Estudos%20para%20Concursos" TargetMode="Externa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mailto:ewertondrigues02@gmail.com?subject=Planilhas%20de%20Estudos%20para%20Concursos" TargetMode="Externa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4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mailto:ewertondrigues02@gmail.com?subject=Planilhas%20de%20Estudos%20para%20Concursos" TargetMode="Externa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mailto:ewertondrigues02@gmail.com?subject=Planilhas%20de%20Estudos%20para%20Concursos" TargetMode="Externa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4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mailto:ewertondrigues02@gmail.com?subject=Planilhas%20de%20Estudos%20para%20Concursos" TargetMode="Externa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mailto:ewertondrigues02@gmail.com?subject=Planilhas%20de%20Estudos%20para%20Concursos" TargetMode="Externa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4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mailto:ewertondrigues02@gmail.com?subject=Planilhas%20de%20Estudos%20para%20Concursos" TargetMode="Externa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image" Target="../media/image2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mailto:ewertondrigues02@gmail.com?subject=Planilhas%20de%20Estudos%20para%20Concursos" TargetMode="Externa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Desempenho!A1"/><Relationship Id="rId7" Type="http://schemas.openxmlformats.org/officeDocument/2006/relationships/image" Target="../media/image2.png"/><Relationship Id="rId2" Type="http://schemas.openxmlformats.org/officeDocument/2006/relationships/hyperlink" Target="#Conteudo!A1"/><Relationship Id="rId1" Type="http://schemas.openxmlformats.org/officeDocument/2006/relationships/hyperlink" Target="#Come&#231;o!A1"/><Relationship Id="rId6" Type="http://schemas.openxmlformats.org/officeDocument/2006/relationships/hyperlink" Target="mailto:ewertondrigues02@gmail.com?subject=Planilhas%20de%20Estudos%20para%20Concursos" TargetMode="External"/><Relationship Id="rId5" Type="http://schemas.openxmlformats.org/officeDocument/2006/relationships/hyperlink" Target="#Resultados!A1"/><Relationship Id="rId4" Type="http://schemas.openxmlformats.org/officeDocument/2006/relationships/hyperlink" Target="#'Quadro Horario '!A1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Desempenho!A1"/><Relationship Id="rId7" Type="http://schemas.openxmlformats.org/officeDocument/2006/relationships/image" Target="../media/image2.png"/><Relationship Id="rId2" Type="http://schemas.openxmlformats.org/officeDocument/2006/relationships/hyperlink" Target="#Conteudo!A1"/><Relationship Id="rId1" Type="http://schemas.openxmlformats.org/officeDocument/2006/relationships/hyperlink" Target="#Come&#231;o!A1"/><Relationship Id="rId6" Type="http://schemas.openxmlformats.org/officeDocument/2006/relationships/hyperlink" Target="mailto:ewertondrigues02@gmail.com?subject=Planilhas%20de%20Estudos%20para%20Concursos" TargetMode="External"/><Relationship Id="rId5" Type="http://schemas.openxmlformats.org/officeDocument/2006/relationships/hyperlink" Target="#Resultados!A1"/><Relationship Id="rId4" Type="http://schemas.openxmlformats.org/officeDocument/2006/relationships/hyperlink" Target="#'Quadro Horario '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Desempenho!A1"/><Relationship Id="rId7" Type="http://schemas.openxmlformats.org/officeDocument/2006/relationships/image" Target="../media/image2.png"/><Relationship Id="rId2" Type="http://schemas.openxmlformats.org/officeDocument/2006/relationships/hyperlink" Target="#Conteudo!A1"/><Relationship Id="rId1" Type="http://schemas.openxmlformats.org/officeDocument/2006/relationships/hyperlink" Target="#Come&#231;o!A1"/><Relationship Id="rId6" Type="http://schemas.openxmlformats.org/officeDocument/2006/relationships/hyperlink" Target="mailto:ewertondrigues02@gmail.com?subject=Planilhas%20de%20Estudos%20para%20Concursos" TargetMode="External"/><Relationship Id="rId5" Type="http://schemas.openxmlformats.org/officeDocument/2006/relationships/hyperlink" Target="#Resultados!A1"/><Relationship Id="rId4" Type="http://schemas.openxmlformats.org/officeDocument/2006/relationships/hyperlink" Target="#'Quadro Horario '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Desempenho!A1"/><Relationship Id="rId7" Type="http://schemas.openxmlformats.org/officeDocument/2006/relationships/image" Target="../media/image2.png"/><Relationship Id="rId2" Type="http://schemas.openxmlformats.org/officeDocument/2006/relationships/hyperlink" Target="#Conteudo!A1"/><Relationship Id="rId1" Type="http://schemas.openxmlformats.org/officeDocument/2006/relationships/hyperlink" Target="#Come&#231;o!A1"/><Relationship Id="rId6" Type="http://schemas.openxmlformats.org/officeDocument/2006/relationships/hyperlink" Target="mailto:ewertondrigues02@gmail.com?subject=Planilhas%20de%20Estudos%20para%20Concursos" TargetMode="External"/><Relationship Id="rId5" Type="http://schemas.openxmlformats.org/officeDocument/2006/relationships/hyperlink" Target="#Resultados!A1"/><Relationship Id="rId4" Type="http://schemas.openxmlformats.org/officeDocument/2006/relationships/hyperlink" Target="#'Quadro Horario '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Desempenho!A1"/><Relationship Id="rId7" Type="http://schemas.openxmlformats.org/officeDocument/2006/relationships/image" Target="../media/image2.png"/><Relationship Id="rId2" Type="http://schemas.openxmlformats.org/officeDocument/2006/relationships/hyperlink" Target="#Conteudo!A1"/><Relationship Id="rId1" Type="http://schemas.openxmlformats.org/officeDocument/2006/relationships/hyperlink" Target="#Come&#231;o!A1"/><Relationship Id="rId6" Type="http://schemas.openxmlformats.org/officeDocument/2006/relationships/hyperlink" Target="mailto:ewertondrigues02@gmail.com?subject=Planilhas%20de%20Estudos%20para%20Concursos" TargetMode="External"/><Relationship Id="rId5" Type="http://schemas.openxmlformats.org/officeDocument/2006/relationships/hyperlink" Target="#Resultados!A1"/><Relationship Id="rId4" Type="http://schemas.openxmlformats.org/officeDocument/2006/relationships/hyperlink" Target="#'Quadro Horario '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Desempenho!A1"/><Relationship Id="rId7" Type="http://schemas.openxmlformats.org/officeDocument/2006/relationships/image" Target="../media/image2.png"/><Relationship Id="rId2" Type="http://schemas.openxmlformats.org/officeDocument/2006/relationships/hyperlink" Target="#Conteudo!A1"/><Relationship Id="rId1" Type="http://schemas.openxmlformats.org/officeDocument/2006/relationships/hyperlink" Target="#Come&#231;o!A1"/><Relationship Id="rId6" Type="http://schemas.openxmlformats.org/officeDocument/2006/relationships/hyperlink" Target="mailto:ewertondrigues02@gmail.com?subject=Planilhas%20de%20Estudos%20para%20Concursos" TargetMode="External"/><Relationship Id="rId5" Type="http://schemas.openxmlformats.org/officeDocument/2006/relationships/hyperlink" Target="#Resultados!A1"/><Relationship Id="rId4" Type="http://schemas.openxmlformats.org/officeDocument/2006/relationships/hyperlink" Target="#'Quadro Horario '!A1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hyperlink" Target="#Desempenho!A1"/><Relationship Id="rId7" Type="http://schemas.openxmlformats.org/officeDocument/2006/relationships/image" Target="../media/image2.png"/><Relationship Id="rId2" Type="http://schemas.openxmlformats.org/officeDocument/2006/relationships/hyperlink" Target="#Conteudo!A1"/><Relationship Id="rId1" Type="http://schemas.openxmlformats.org/officeDocument/2006/relationships/hyperlink" Target="#Come&#231;o!A1"/><Relationship Id="rId6" Type="http://schemas.openxmlformats.org/officeDocument/2006/relationships/hyperlink" Target="mailto:ewertondrigues02@gmail.com?subject=Planilhas%20de%20Estudos%20para%20Concursos" TargetMode="External"/><Relationship Id="rId5" Type="http://schemas.openxmlformats.org/officeDocument/2006/relationships/hyperlink" Target="#Resultados!A1"/><Relationship Id="rId4" Type="http://schemas.openxmlformats.org/officeDocument/2006/relationships/hyperlink" Target="#'Quadro Horario '!A1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Desempenho!A1"/><Relationship Id="rId7" Type="http://schemas.openxmlformats.org/officeDocument/2006/relationships/image" Target="../media/image2.png"/><Relationship Id="rId2" Type="http://schemas.openxmlformats.org/officeDocument/2006/relationships/hyperlink" Target="#Conteudo!A1"/><Relationship Id="rId1" Type="http://schemas.openxmlformats.org/officeDocument/2006/relationships/hyperlink" Target="#Come&#231;o!A1"/><Relationship Id="rId6" Type="http://schemas.openxmlformats.org/officeDocument/2006/relationships/hyperlink" Target="mailto:ewertondrigues02@gmail.com?subject=Planilhas%20de%20Estudos%20para%20Concursos" TargetMode="External"/><Relationship Id="rId5" Type="http://schemas.openxmlformats.org/officeDocument/2006/relationships/hyperlink" Target="#Resultados!A1"/><Relationship Id="rId4" Type="http://schemas.openxmlformats.org/officeDocument/2006/relationships/hyperlink" Target="#'Quadro Horario '!A1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hyperlink" Target="#Desempenho!A1"/><Relationship Id="rId7" Type="http://schemas.openxmlformats.org/officeDocument/2006/relationships/image" Target="../media/image2.png"/><Relationship Id="rId2" Type="http://schemas.openxmlformats.org/officeDocument/2006/relationships/hyperlink" Target="#Conteudo!A1"/><Relationship Id="rId1" Type="http://schemas.openxmlformats.org/officeDocument/2006/relationships/hyperlink" Target="#Come&#231;o!A1"/><Relationship Id="rId6" Type="http://schemas.openxmlformats.org/officeDocument/2006/relationships/hyperlink" Target="mailto:ewertondrigues02@gmail.com?subject=Planilhas%20de%20Estudos%20para%20Concursos" TargetMode="External"/><Relationship Id="rId5" Type="http://schemas.openxmlformats.org/officeDocument/2006/relationships/hyperlink" Target="#Resultados!A1"/><Relationship Id="rId4" Type="http://schemas.openxmlformats.org/officeDocument/2006/relationships/hyperlink" Target="#'Quadro Horario '!A1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hyperlink" Target="#Desempenho!A1"/><Relationship Id="rId7" Type="http://schemas.openxmlformats.org/officeDocument/2006/relationships/image" Target="../media/image2.png"/><Relationship Id="rId2" Type="http://schemas.openxmlformats.org/officeDocument/2006/relationships/hyperlink" Target="#Conteudo!A1"/><Relationship Id="rId1" Type="http://schemas.openxmlformats.org/officeDocument/2006/relationships/hyperlink" Target="#Come&#231;o!A1"/><Relationship Id="rId6" Type="http://schemas.openxmlformats.org/officeDocument/2006/relationships/hyperlink" Target="mailto:ewertondrigues02@gmail.com?subject=Planilhas%20de%20Estudos%20para%20Concursos" TargetMode="External"/><Relationship Id="rId5" Type="http://schemas.openxmlformats.org/officeDocument/2006/relationships/hyperlink" Target="#Resultados!A1"/><Relationship Id="rId4" Type="http://schemas.openxmlformats.org/officeDocument/2006/relationships/hyperlink" Target="#'Quadro Horario '!A1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hyperlink" Target="#Desempenho!A1"/><Relationship Id="rId7" Type="http://schemas.openxmlformats.org/officeDocument/2006/relationships/image" Target="../media/image2.png"/><Relationship Id="rId2" Type="http://schemas.openxmlformats.org/officeDocument/2006/relationships/hyperlink" Target="#Conteudo!A1"/><Relationship Id="rId1" Type="http://schemas.openxmlformats.org/officeDocument/2006/relationships/hyperlink" Target="#Come&#231;o!A1"/><Relationship Id="rId6" Type="http://schemas.openxmlformats.org/officeDocument/2006/relationships/hyperlink" Target="mailto:ewertondrigues02@gmail.com?subject=Planilhas%20de%20Estudos%20para%20Concursos" TargetMode="External"/><Relationship Id="rId5" Type="http://schemas.openxmlformats.org/officeDocument/2006/relationships/hyperlink" Target="#Resultados!A1"/><Relationship Id="rId4" Type="http://schemas.openxmlformats.org/officeDocument/2006/relationships/hyperlink" Target="#'Quadro Horario '!A1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6081" cy="601366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0CF7DAF-3FDF-3947-D390-EA6A885DEAE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646081" cy="601366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4ECB24D-11B6-51DE-4DEB-0A47E6199F7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152400</xdr:rowOff>
    </xdr:from>
    <xdr:to>
      <xdr:col>6</xdr:col>
      <xdr:colOff>523875</xdr:colOff>
      <xdr:row>3</xdr:row>
      <xdr:rowOff>28575</xdr:rowOff>
    </xdr:to>
    <xdr:sp macro="" textlink="">
      <xdr:nvSpPr>
        <xdr:cNvPr id="7" name="Retângulo: Cantos Arredondados 6">
          <a:hlinkClick xmlns:r="http://schemas.openxmlformats.org/officeDocument/2006/relationships" r:id="rId1" tooltip="Você está em Começo"/>
          <a:extLst>
            <a:ext uri="{FF2B5EF4-FFF2-40B4-BE49-F238E27FC236}">
              <a16:creationId xmlns:a16="http://schemas.microsoft.com/office/drawing/2014/main" id="{3C4ECCDC-2D3F-4F72-81E8-386E0806D8A4}"/>
            </a:ext>
          </a:extLst>
        </xdr:cNvPr>
        <xdr:cNvSpPr/>
      </xdr:nvSpPr>
      <xdr:spPr>
        <a:xfrm>
          <a:off x="4210050" y="152400"/>
          <a:ext cx="1619250" cy="447675"/>
        </a:xfrm>
        <a:prstGeom prst="roundRect">
          <a:avLst>
            <a:gd name="adj" fmla="val 50000"/>
          </a:avLst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Começo</a:t>
          </a:r>
        </a:p>
      </xdr:txBody>
    </xdr:sp>
    <xdr:clientData/>
  </xdr:twoCellAnchor>
  <xdr:twoCellAnchor>
    <xdr:from>
      <xdr:col>6</xdr:col>
      <xdr:colOff>581025</xdr:colOff>
      <xdr:row>0</xdr:row>
      <xdr:rowOff>152400</xdr:rowOff>
    </xdr:from>
    <xdr:to>
      <xdr:col>8</xdr:col>
      <xdr:colOff>66675</xdr:colOff>
      <xdr:row>3</xdr:row>
      <xdr:rowOff>28575</xdr:rowOff>
    </xdr:to>
    <xdr:sp macro="" textlink="">
      <xdr:nvSpPr>
        <xdr:cNvPr id="8" name="Retângulo: Cantos Arredondados 7">
          <a:hlinkClick xmlns:r="http://schemas.openxmlformats.org/officeDocument/2006/relationships" r:id="rId2" tooltip="Ir para Conteúdo"/>
          <a:extLst>
            <a:ext uri="{FF2B5EF4-FFF2-40B4-BE49-F238E27FC236}">
              <a16:creationId xmlns:a16="http://schemas.microsoft.com/office/drawing/2014/main" id="{7C65DF65-92FF-4734-A281-C0614323B479}"/>
            </a:ext>
          </a:extLst>
        </xdr:cNvPr>
        <xdr:cNvSpPr/>
      </xdr:nvSpPr>
      <xdr:spPr>
        <a:xfrm>
          <a:off x="5886450" y="152400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Conteúdo</a:t>
          </a:r>
          <a:endParaRPr lang="pt-BR" sz="1400" b="1">
            <a:latin typeface="+mn-lt"/>
            <a:cs typeface="Segoe UI" panose="020B0502040204020203" pitchFamily="34" charset="0"/>
          </a:endParaRPr>
        </a:p>
        <a:p>
          <a:pPr algn="ctr"/>
          <a:endParaRPr lang="pt-BR" sz="14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123825</xdr:colOff>
      <xdr:row>0</xdr:row>
      <xdr:rowOff>152400</xdr:rowOff>
    </xdr:from>
    <xdr:to>
      <xdr:col>9</xdr:col>
      <xdr:colOff>1000125</xdr:colOff>
      <xdr:row>3</xdr:row>
      <xdr:rowOff>28575</xdr:rowOff>
    </xdr:to>
    <xdr:sp macro="" textlink="">
      <xdr:nvSpPr>
        <xdr:cNvPr id="9" name="Retângulo: Cantos Arredondados 8">
          <a:hlinkClick xmlns:r="http://schemas.openxmlformats.org/officeDocument/2006/relationships" r:id="rId3" tooltip="Ir para Desempenho"/>
          <a:extLst>
            <a:ext uri="{FF2B5EF4-FFF2-40B4-BE49-F238E27FC236}">
              <a16:creationId xmlns:a16="http://schemas.microsoft.com/office/drawing/2014/main" id="{32D2C994-9224-48A5-BEC8-1CDBEB2CE04B}"/>
            </a:ext>
          </a:extLst>
        </xdr:cNvPr>
        <xdr:cNvSpPr/>
      </xdr:nvSpPr>
      <xdr:spPr>
        <a:xfrm>
          <a:off x="7562850" y="152400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Desempenho</a:t>
          </a:r>
          <a:endParaRPr lang="pt-BR" sz="1400" b="1">
            <a:latin typeface="+mn-lt"/>
            <a:cs typeface="Segoe UI" panose="020B0502040204020203" pitchFamily="34" charset="0"/>
          </a:endParaRPr>
        </a:p>
        <a:p>
          <a:pPr algn="ctr"/>
          <a:endParaRPr lang="pt-BR" sz="14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10</xdr:col>
      <xdr:colOff>114300</xdr:colOff>
      <xdr:row>0</xdr:row>
      <xdr:rowOff>171450</xdr:rowOff>
    </xdr:from>
    <xdr:to>
      <xdr:col>11</xdr:col>
      <xdr:colOff>714375</xdr:colOff>
      <xdr:row>3</xdr:row>
      <xdr:rowOff>47625</xdr:rowOff>
    </xdr:to>
    <xdr:sp macro="" textlink="">
      <xdr:nvSpPr>
        <xdr:cNvPr id="10" name="Retângulo: Cantos Arredondados 9">
          <a:hlinkClick xmlns:r="http://schemas.openxmlformats.org/officeDocument/2006/relationships" r:id="rId4" tooltip="Ir para Quadro de Horário"/>
          <a:extLst>
            <a:ext uri="{FF2B5EF4-FFF2-40B4-BE49-F238E27FC236}">
              <a16:creationId xmlns:a16="http://schemas.microsoft.com/office/drawing/2014/main" id="{6F094FF2-3133-4449-AB8B-2D1EF0EDD72F}"/>
            </a:ext>
          </a:extLst>
        </xdr:cNvPr>
        <xdr:cNvSpPr/>
      </xdr:nvSpPr>
      <xdr:spPr>
        <a:xfrm>
          <a:off x="9344025" y="171450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Quadro</a:t>
          </a:r>
          <a:r>
            <a:rPr lang="pt-BR" sz="1200" b="1">
              <a:latin typeface="+mn-lt"/>
              <a:cs typeface="Segoe UI" panose="020B0502040204020203" pitchFamily="34" charset="0"/>
            </a:rPr>
            <a:t> de Horário</a:t>
          </a:r>
        </a:p>
        <a:p>
          <a:pPr algn="l"/>
          <a:endParaRPr lang="pt-BR" sz="14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11</xdr:col>
      <xdr:colOff>781050</xdr:colOff>
      <xdr:row>0</xdr:row>
      <xdr:rowOff>171450</xdr:rowOff>
    </xdr:from>
    <xdr:to>
      <xdr:col>14</xdr:col>
      <xdr:colOff>323850</xdr:colOff>
      <xdr:row>3</xdr:row>
      <xdr:rowOff>47625</xdr:rowOff>
    </xdr:to>
    <xdr:sp macro="" textlink="">
      <xdr:nvSpPr>
        <xdr:cNvPr id="11" name="Retângulo: Cantos Arredondados 10">
          <a:hlinkClick xmlns:r="http://schemas.openxmlformats.org/officeDocument/2006/relationships" r:id="rId5" tooltip="Ir para Resultado"/>
          <a:extLst>
            <a:ext uri="{FF2B5EF4-FFF2-40B4-BE49-F238E27FC236}">
              <a16:creationId xmlns:a16="http://schemas.microsoft.com/office/drawing/2014/main" id="{66966A19-1069-464D-A016-0313CDAC2F24}"/>
            </a:ext>
          </a:extLst>
        </xdr:cNvPr>
        <xdr:cNvSpPr/>
      </xdr:nvSpPr>
      <xdr:spPr>
        <a:xfrm>
          <a:off x="11029950" y="171450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+mn-lt"/>
            </a:rPr>
            <a:t>Resultado</a:t>
          </a:r>
        </a:p>
      </xdr:txBody>
    </xdr:sp>
    <xdr:clientData/>
  </xdr:twoCellAnchor>
  <xdr:twoCellAnchor>
    <xdr:from>
      <xdr:col>0</xdr:col>
      <xdr:colOff>85724</xdr:colOff>
      <xdr:row>29</xdr:row>
      <xdr:rowOff>85725</xdr:rowOff>
    </xdr:from>
    <xdr:to>
      <xdr:col>16</xdr:col>
      <xdr:colOff>590550</xdr:colOff>
      <xdr:row>43</xdr:row>
      <xdr:rowOff>209550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33E5151-F68A-490C-A9C5-590EA81402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228600</xdr:colOff>
      <xdr:row>1</xdr:row>
      <xdr:rowOff>47625</xdr:rowOff>
    </xdr:from>
    <xdr:to>
      <xdr:col>2</xdr:col>
      <xdr:colOff>1217329</xdr:colOff>
      <xdr:row>2</xdr:row>
      <xdr:rowOff>171450</xdr:rowOff>
    </xdr:to>
    <xdr:pic>
      <xdr:nvPicPr>
        <xdr:cNvPr id="4" name="Imagem 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9104152-FAC5-4513-86C6-3E4112B05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238125"/>
          <a:ext cx="1464979" cy="3143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1581150</xdr:colOff>
      <xdr:row>0</xdr:row>
      <xdr:rowOff>152400</xdr:rowOff>
    </xdr:from>
    <xdr:to>
      <xdr:col>4</xdr:col>
      <xdr:colOff>0</xdr:colOff>
      <xdr:row>3</xdr:row>
      <xdr:rowOff>28575</xdr:rowOff>
    </xdr:to>
    <xdr:sp macro="" textlink="">
      <xdr:nvSpPr>
        <xdr:cNvPr id="6" name="Retângulo: Cantos Arredondados 5">
          <a:hlinkClick xmlns:r="http://schemas.openxmlformats.org/officeDocument/2006/relationships" r:id="rId1" tooltip="Ir para Começo"/>
          <a:extLst>
            <a:ext uri="{FF2B5EF4-FFF2-40B4-BE49-F238E27FC236}">
              <a16:creationId xmlns:a16="http://schemas.microsoft.com/office/drawing/2014/main" id="{C55873E2-96FA-4CBB-B73A-DEFED6FEF9C4}"/>
            </a:ext>
          </a:extLst>
        </xdr:cNvPr>
        <xdr:cNvSpPr/>
      </xdr:nvSpPr>
      <xdr:spPr>
        <a:xfrm>
          <a:off x="4438650" y="152400"/>
          <a:ext cx="148590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+mn-lt"/>
              <a:cs typeface="Segoe UI" panose="020B0502040204020203" pitchFamily="34" charset="0"/>
            </a:rPr>
            <a:t>Começo</a:t>
          </a:r>
        </a:p>
      </xdr:txBody>
    </xdr:sp>
    <xdr:clientData/>
  </xdr:twoCellAnchor>
  <xdr:twoCellAnchor>
    <xdr:from>
      <xdr:col>4</xdr:col>
      <xdr:colOff>57150</xdr:colOff>
      <xdr:row>0</xdr:row>
      <xdr:rowOff>152400</xdr:rowOff>
    </xdr:from>
    <xdr:to>
      <xdr:col>5</xdr:col>
      <xdr:colOff>666750</xdr:colOff>
      <xdr:row>3</xdr:row>
      <xdr:rowOff>28575</xdr:rowOff>
    </xdr:to>
    <xdr:sp macro="" textlink="">
      <xdr:nvSpPr>
        <xdr:cNvPr id="7" name="Retângulo: Cantos Arredondados 6">
          <a:hlinkClick xmlns:r="http://schemas.openxmlformats.org/officeDocument/2006/relationships" r:id="rId2" tooltip="Você está em Conteúdo"/>
          <a:extLst>
            <a:ext uri="{FF2B5EF4-FFF2-40B4-BE49-F238E27FC236}">
              <a16:creationId xmlns:a16="http://schemas.microsoft.com/office/drawing/2014/main" id="{EFD8B9DE-0F4A-405B-B014-4FBD0C95CAA1}"/>
            </a:ext>
          </a:extLst>
        </xdr:cNvPr>
        <xdr:cNvSpPr/>
      </xdr:nvSpPr>
      <xdr:spPr>
        <a:xfrm>
          <a:off x="5876925" y="152400"/>
          <a:ext cx="1619250" cy="447675"/>
        </a:xfrm>
        <a:prstGeom prst="roundRect">
          <a:avLst>
            <a:gd name="adj" fmla="val 50000"/>
          </a:avLst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+mn-lt"/>
              <a:cs typeface="Segoe UI" panose="020B0502040204020203" pitchFamily="34" charset="0"/>
            </a:rPr>
            <a:t>Conteúdo</a:t>
          </a:r>
        </a:p>
        <a:p>
          <a:pPr algn="ctr"/>
          <a:endParaRPr lang="pt-BR" sz="12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5</xdr:col>
      <xdr:colOff>723900</xdr:colOff>
      <xdr:row>0</xdr:row>
      <xdr:rowOff>152400</xdr:rowOff>
    </xdr:from>
    <xdr:to>
      <xdr:col>7</xdr:col>
      <xdr:colOff>352425</xdr:colOff>
      <xdr:row>3</xdr:row>
      <xdr:rowOff>28575</xdr:rowOff>
    </xdr:to>
    <xdr:sp macro="" textlink="">
      <xdr:nvSpPr>
        <xdr:cNvPr id="8" name="Retângulo: Cantos Arredondados 7">
          <a:hlinkClick xmlns:r="http://schemas.openxmlformats.org/officeDocument/2006/relationships" r:id="rId3" tooltip="Ir para Desempenho"/>
          <a:extLst>
            <a:ext uri="{FF2B5EF4-FFF2-40B4-BE49-F238E27FC236}">
              <a16:creationId xmlns:a16="http://schemas.microsoft.com/office/drawing/2014/main" id="{2257D02C-293D-4D2C-AD85-2768B784AF8A}"/>
            </a:ext>
          </a:extLst>
        </xdr:cNvPr>
        <xdr:cNvSpPr/>
      </xdr:nvSpPr>
      <xdr:spPr>
        <a:xfrm>
          <a:off x="7553325" y="152400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+mn-lt"/>
              <a:cs typeface="Segoe UI" panose="020B0502040204020203" pitchFamily="34" charset="0"/>
            </a:rPr>
            <a:t>Desempenho</a:t>
          </a:r>
        </a:p>
        <a:p>
          <a:pPr algn="ctr"/>
          <a:endParaRPr lang="pt-BR" sz="12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419100</xdr:colOff>
      <xdr:row>0</xdr:row>
      <xdr:rowOff>152400</xdr:rowOff>
    </xdr:from>
    <xdr:to>
      <xdr:col>9</xdr:col>
      <xdr:colOff>800100</xdr:colOff>
      <xdr:row>3</xdr:row>
      <xdr:rowOff>28575</xdr:rowOff>
    </xdr:to>
    <xdr:sp macro="" textlink="">
      <xdr:nvSpPr>
        <xdr:cNvPr id="9" name="Retângulo: Cantos Arredondados 8">
          <a:hlinkClick xmlns:r="http://schemas.openxmlformats.org/officeDocument/2006/relationships" r:id="rId4" tooltip="Ir para Quadro de Horário"/>
          <a:extLst>
            <a:ext uri="{FF2B5EF4-FFF2-40B4-BE49-F238E27FC236}">
              <a16:creationId xmlns:a16="http://schemas.microsoft.com/office/drawing/2014/main" id="{0639E76D-F09C-4C23-A82E-E27C1CD61B9C}"/>
            </a:ext>
          </a:extLst>
        </xdr:cNvPr>
        <xdr:cNvSpPr/>
      </xdr:nvSpPr>
      <xdr:spPr>
        <a:xfrm>
          <a:off x="9239250" y="152400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+mn-lt"/>
              <a:cs typeface="Segoe UI" panose="020B0502040204020203" pitchFamily="34" charset="0"/>
            </a:rPr>
            <a:t>Quadro de Horário</a:t>
          </a:r>
        </a:p>
        <a:p>
          <a:pPr algn="ctr"/>
          <a:endParaRPr lang="pt-BR" sz="12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10</xdr:col>
      <xdr:colOff>19050</xdr:colOff>
      <xdr:row>0</xdr:row>
      <xdr:rowOff>152400</xdr:rowOff>
    </xdr:from>
    <xdr:to>
      <xdr:col>11</xdr:col>
      <xdr:colOff>523875</xdr:colOff>
      <xdr:row>3</xdr:row>
      <xdr:rowOff>28575</xdr:rowOff>
    </xdr:to>
    <xdr:sp macro="" textlink="">
      <xdr:nvSpPr>
        <xdr:cNvPr id="10" name="Retângulo: Cantos Arredondados 9">
          <a:hlinkClick xmlns:r="http://schemas.openxmlformats.org/officeDocument/2006/relationships" r:id="rId5" tooltip="Ir para Resultado"/>
          <a:extLst>
            <a:ext uri="{FF2B5EF4-FFF2-40B4-BE49-F238E27FC236}">
              <a16:creationId xmlns:a16="http://schemas.microsoft.com/office/drawing/2014/main" id="{9B2BFC61-7B94-4F15-B113-8D4DD4078942}"/>
            </a:ext>
          </a:extLst>
        </xdr:cNvPr>
        <xdr:cNvSpPr/>
      </xdr:nvSpPr>
      <xdr:spPr>
        <a:xfrm>
          <a:off x="10925175" y="152400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+mn-lt"/>
            </a:rPr>
            <a:t>Resultado</a:t>
          </a:r>
        </a:p>
      </xdr:txBody>
    </xdr:sp>
    <xdr:clientData/>
  </xdr:twoCellAnchor>
  <xdr:twoCellAnchor editAs="oneCell">
    <xdr:from>
      <xdr:col>0</xdr:col>
      <xdr:colOff>161925</xdr:colOff>
      <xdr:row>1</xdr:row>
      <xdr:rowOff>76200</xdr:rowOff>
    </xdr:from>
    <xdr:to>
      <xdr:col>1</xdr:col>
      <xdr:colOff>1341154</xdr:colOff>
      <xdr:row>3</xdr:row>
      <xdr:rowOff>9525</xdr:rowOff>
    </xdr:to>
    <xdr:pic>
      <xdr:nvPicPr>
        <xdr:cNvPr id="12" name="Imagem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2084C2F-A96D-4B2C-B2E0-790DD301CC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266700"/>
          <a:ext cx="1464979" cy="3143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0</xdr:row>
      <xdr:rowOff>142875</xdr:rowOff>
    </xdr:from>
    <xdr:to>
      <xdr:col>11</xdr:col>
      <xdr:colOff>38100</xdr:colOff>
      <xdr:row>3</xdr:row>
      <xdr:rowOff>19050</xdr:rowOff>
    </xdr:to>
    <xdr:sp macro="" textlink="">
      <xdr:nvSpPr>
        <xdr:cNvPr id="2" name="Retângulo: Cantos Arredondados 1">
          <a:hlinkClick xmlns:r="http://schemas.openxmlformats.org/officeDocument/2006/relationships" r:id="rId1" tooltip="Ir para Começo"/>
          <a:extLst>
            <a:ext uri="{FF2B5EF4-FFF2-40B4-BE49-F238E27FC236}">
              <a16:creationId xmlns:a16="http://schemas.microsoft.com/office/drawing/2014/main" id="{9E12DD86-1BA2-40C1-A90C-D10B3D9E7A5C}"/>
            </a:ext>
          </a:extLst>
        </xdr:cNvPr>
        <xdr:cNvSpPr/>
      </xdr:nvSpPr>
      <xdr:spPr>
        <a:xfrm>
          <a:off x="415290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Começo</a:t>
          </a:r>
        </a:p>
      </xdr:txBody>
    </xdr:sp>
    <xdr:clientData/>
  </xdr:twoCellAnchor>
  <xdr:twoCellAnchor>
    <xdr:from>
      <xdr:col>11</xdr:col>
      <xdr:colOff>95250</xdr:colOff>
      <xdr:row>0</xdr:row>
      <xdr:rowOff>142875</xdr:rowOff>
    </xdr:from>
    <xdr:to>
      <xdr:col>13</xdr:col>
      <xdr:colOff>142875</xdr:colOff>
      <xdr:row>3</xdr:row>
      <xdr:rowOff>19050</xdr:rowOff>
    </xdr:to>
    <xdr:sp macro="" textlink="">
      <xdr:nvSpPr>
        <xdr:cNvPr id="3" name="Retângulo: Cantos Arredondados 2">
          <a:hlinkClick xmlns:r="http://schemas.openxmlformats.org/officeDocument/2006/relationships" r:id="rId2" tooltip="Ir para Conteúdo"/>
          <a:extLst>
            <a:ext uri="{FF2B5EF4-FFF2-40B4-BE49-F238E27FC236}">
              <a16:creationId xmlns:a16="http://schemas.microsoft.com/office/drawing/2014/main" id="{EC8266A3-CEDF-44FA-BAA1-E38B6A7B0124}"/>
            </a:ext>
          </a:extLst>
        </xdr:cNvPr>
        <xdr:cNvSpPr/>
      </xdr:nvSpPr>
      <xdr:spPr>
        <a:xfrm>
          <a:off x="582930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Conteúdo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13</xdr:col>
      <xdr:colOff>200025</xdr:colOff>
      <xdr:row>0</xdr:row>
      <xdr:rowOff>142875</xdr:rowOff>
    </xdr:from>
    <xdr:to>
      <xdr:col>15</xdr:col>
      <xdr:colOff>600075</xdr:colOff>
      <xdr:row>3</xdr:row>
      <xdr:rowOff>19050</xdr:rowOff>
    </xdr:to>
    <xdr:sp macro="" textlink="">
      <xdr:nvSpPr>
        <xdr:cNvPr id="4" name="Retângulo: Cantos Arredondados 3">
          <a:hlinkClick xmlns:r="http://schemas.openxmlformats.org/officeDocument/2006/relationships" r:id="rId3" tooltip="Você está em Desempenho"/>
          <a:extLst>
            <a:ext uri="{FF2B5EF4-FFF2-40B4-BE49-F238E27FC236}">
              <a16:creationId xmlns:a16="http://schemas.microsoft.com/office/drawing/2014/main" id="{FF686563-2090-4E39-9775-52838401C272}"/>
            </a:ext>
          </a:extLst>
        </xdr:cNvPr>
        <xdr:cNvSpPr/>
      </xdr:nvSpPr>
      <xdr:spPr>
        <a:xfrm>
          <a:off x="750570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Desempenho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57150</xdr:colOff>
      <xdr:row>0</xdr:row>
      <xdr:rowOff>142875</xdr:rowOff>
    </xdr:from>
    <xdr:to>
      <xdr:col>18</xdr:col>
      <xdr:colOff>457200</xdr:colOff>
      <xdr:row>3</xdr:row>
      <xdr:rowOff>19050</xdr:rowOff>
    </xdr:to>
    <xdr:sp macro="" textlink="">
      <xdr:nvSpPr>
        <xdr:cNvPr id="5" name="Retângulo: Cantos Arredondados 4">
          <a:hlinkClick xmlns:r="http://schemas.openxmlformats.org/officeDocument/2006/relationships" r:id="rId4" tooltip="Ir para Quadro de Horário"/>
          <a:extLst>
            <a:ext uri="{FF2B5EF4-FFF2-40B4-BE49-F238E27FC236}">
              <a16:creationId xmlns:a16="http://schemas.microsoft.com/office/drawing/2014/main" id="{E5C00617-3DB8-4457-AA87-DAC68043FEBB}"/>
            </a:ext>
          </a:extLst>
        </xdr:cNvPr>
        <xdr:cNvSpPr/>
      </xdr:nvSpPr>
      <xdr:spPr>
        <a:xfrm>
          <a:off x="9191625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Quadro de Horário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18</xdr:col>
      <xdr:colOff>523875</xdr:colOff>
      <xdr:row>0</xdr:row>
      <xdr:rowOff>142875</xdr:rowOff>
    </xdr:from>
    <xdr:to>
      <xdr:col>21</xdr:col>
      <xdr:colOff>314325</xdr:colOff>
      <xdr:row>3</xdr:row>
      <xdr:rowOff>19050</xdr:rowOff>
    </xdr:to>
    <xdr:sp macro="" textlink="">
      <xdr:nvSpPr>
        <xdr:cNvPr id="6" name="Retângulo: Cantos Arredondados 5">
          <a:hlinkClick xmlns:r="http://schemas.openxmlformats.org/officeDocument/2006/relationships" r:id="rId5" tooltip="Ir para Resultado"/>
          <a:extLst>
            <a:ext uri="{FF2B5EF4-FFF2-40B4-BE49-F238E27FC236}">
              <a16:creationId xmlns:a16="http://schemas.microsoft.com/office/drawing/2014/main" id="{C2BB1D93-C5CD-429E-BE39-A6A99C17777F}"/>
            </a:ext>
          </a:extLst>
        </xdr:cNvPr>
        <xdr:cNvSpPr/>
      </xdr:nvSpPr>
      <xdr:spPr>
        <a:xfrm>
          <a:off x="1087755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</a:rPr>
            <a:t>Resultado</a:t>
          </a:r>
        </a:p>
      </xdr:txBody>
    </xdr:sp>
    <xdr:clientData/>
  </xdr:twoCellAnchor>
  <xdr:twoCellAnchor editAs="oneCell">
    <xdr:from>
      <xdr:col>0</xdr:col>
      <xdr:colOff>152400</xdr:colOff>
      <xdr:row>1</xdr:row>
      <xdr:rowOff>66675</xdr:rowOff>
    </xdr:from>
    <xdr:to>
      <xdr:col>3</xdr:col>
      <xdr:colOff>112429</xdr:colOff>
      <xdr:row>3</xdr:row>
      <xdr:rowOff>0</xdr:rowOff>
    </xdr:to>
    <xdr:pic>
      <xdr:nvPicPr>
        <xdr:cNvPr id="8" name="Imagem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40E227F-5AB8-4336-9292-4FE6E9B061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57175"/>
          <a:ext cx="1464979" cy="3143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447675</xdr:colOff>
      <xdr:row>0</xdr:row>
      <xdr:rowOff>161925</xdr:rowOff>
    </xdr:from>
    <xdr:to>
      <xdr:col>4</xdr:col>
      <xdr:colOff>819150</xdr:colOff>
      <xdr:row>3</xdr:row>
      <xdr:rowOff>38100</xdr:rowOff>
    </xdr:to>
    <xdr:sp macro="" textlink="">
      <xdr:nvSpPr>
        <xdr:cNvPr id="2" name="Retângulo: Cantos Arredondados 1">
          <a:hlinkClick xmlns:r="http://schemas.openxmlformats.org/officeDocument/2006/relationships" r:id="rId1" tooltip="Ir para Começo"/>
          <a:extLst>
            <a:ext uri="{FF2B5EF4-FFF2-40B4-BE49-F238E27FC236}">
              <a16:creationId xmlns:a16="http://schemas.microsoft.com/office/drawing/2014/main" id="{353F5D73-9384-4DFF-B821-809E41368D15}"/>
            </a:ext>
          </a:extLst>
        </xdr:cNvPr>
        <xdr:cNvSpPr/>
      </xdr:nvSpPr>
      <xdr:spPr>
        <a:xfrm>
          <a:off x="4191000" y="16192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Começo</a:t>
          </a:r>
        </a:p>
      </xdr:txBody>
    </xdr:sp>
    <xdr:clientData/>
  </xdr:twoCellAnchor>
  <xdr:twoCellAnchor>
    <xdr:from>
      <xdr:col>4</xdr:col>
      <xdr:colOff>876300</xdr:colOff>
      <xdr:row>0</xdr:row>
      <xdr:rowOff>161925</xdr:rowOff>
    </xdr:from>
    <xdr:to>
      <xdr:col>6</xdr:col>
      <xdr:colOff>0</xdr:colOff>
      <xdr:row>3</xdr:row>
      <xdr:rowOff>38100</xdr:rowOff>
    </xdr:to>
    <xdr:sp macro="" textlink="">
      <xdr:nvSpPr>
        <xdr:cNvPr id="3" name="Retângulo: Cantos Arredondados 2">
          <a:hlinkClick xmlns:r="http://schemas.openxmlformats.org/officeDocument/2006/relationships" r:id="rId2" tooltip="Ir para Conteúdo"/>
          <a:extLst>
            <a:ext uri="{FF2B5EF4-FFF2-40B4-BE49-F238E27FC236}">
              <a16:creationId xmlns:a16="http://schemas.microsoft.com/office/drawing/2014/main" id="{C33B665F-2E27-4490-8796-2AB3085E83C2}"/>
            </a:ext>
          </a:extLst>
        </xdr:cNvPr>
        <xdr:cNvSpPr/>
      </xdr:nvSpPr>
      <xdr:spPr>
        <a:xfrm>
          <a:off x="5867400" y="16192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Conteúdo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6</xdr:col>
      <xdr:colOff>57150</xdr:colOff>
      <xdr:row>0</xdr:row>
      <xdr:rowOff>161925</xdr:rowOff>
    </xdr:from>
    <xdr:to>
      <xdr:col>7</xdr:col>
      <xdr:colOff>428625</xdr:colOff>
      <xdr:row>3</xdr:row>
      <xdr:rowOff>38100</xdr:rowOff>
    </xdr:to>
    <xdr:sp macro="" textlink="">
      <xdr:nvSpPr>
        <xdr:cNvPr id="4" name="Retângulo: Cantos Arredondados 3">
          <a:hlinkClick xmlns:r="http://schemas.openxmlformats.org/officeDocument/2006/relationships" r:id="rId3" tooltip="Ir para Desempenho"/>
          <a:extLst>
            <a:ext uri="{FF2B5EF4-FFF2-40B4-BE49-F238E27FC236}">
              <a16:creationId xmlns:a16="http://schemas.microsoft.com/office/drawing/2014/main" id="{21C99205-5693-4D96-A932-06D9FAB2B636}"/>
            </a:ext>
          </a:extLst>
        </xdr:cNvPr>
        <xdr:cNvSpPr/>
      </xdr:nvSpPr>
      <xdr:spPr>
        <a:xfrm>
          <a:off x="7543800" y="16192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Desempenho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495300</xdr:colOff>
      <xdr:row>0</xdr:row>
      <xdr:rowOff>161925</xdr:rowOff>
    </xdr:from>
    <xdr:to>
      <xdr:col>10</xdr:col>
      <xdr:colOff>57150</xdr:colOff>
      <xdr:row>3</xdr:row>
      <xdr:rowOff>38100</xdr:rowOff>
    </xdr:to>
    <xdr:sp macro="" textlink="">
      <xdr:nvSpPr>
        <xdr:cNvPr id="5" name="Retângulo: Cantos Arredondados 4">
          <a:hlinkClick xmlns:r="http://schemas.openxmlformats.org/officeDocument/2006/relationships" r:id="rId4" tooltip="Você está em Quadro de Horário"/>
          <a:extLst>
            <a:ext uri="{FF2B5EF4-FFF2-40B4-BE49-F238E27FC236}">
              <a16:creationId xmlns:a16="http://schemas.microsoft.com/office/drawing/2014/main" id="{5A2F3340-C23F-42C6-9D77-594AFDBBE68E}"/>
            </a:ext>
          </a:extLst>
        </xdr:cNvPr>
        <xdr:cNvSpPr/>
      </xdr:nvSpPr>
      <xdr:spPr>
        <a:xfrm>
          <a:off x="9229725" y="161925"/>
          <a:ext cx="1619250" cy="447675"/>
        </a:xfrm>
        <a:prstGeom prst="roundRect">
          <a:avLst>
            <a:gd name="adj" fmla="val 50000"/>
          </a:avLst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Quadro de Horário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10</xdr:col>
      <xdr:colOff>123825</xdr:colOff>
      <xdr:row>0</xdr:row>
      <xdr:rowOff>161925</xdr:rowOff>
    </xdr:from>
    <xdr:to>
      <xdr:col>12</xdr:col>
      <xdr:colOff>523875</xdr:colOff>
      <xdr:row>3</xdr:row>
      <xdr:rowOff>38100</xdr:rowOff>
    </xdr:to>
    <xdr:sp macro="" textlink="">
      <xdr:nvSpPr>
        <xdr:cNvPr id="6" name="Retângulo: Cantos Arredondados 5">
          <a:hlinkClick xmlns:r="http://schemas.openxmlformats.org/officeDocument/2006/relationships" r:id="rId5" tooltip="Ir para Resultado"/>
          <a:extLst>
            <a:ext uri="{FF2B5EF4-FFF2-40B4-BE49-F238E27FC236}">
              <a16:creationId xmlns:a16="http://schemas.microsoft.com/office/drawing/2014/main" id="{D9C0E213-29AA-47BE-A837-93D61C573A55}"/>
            </a:ext>
          </a:extLst>
        </xdr:cNvPr>
        <xdr:cNvSpPr/>
      </xdr:nvSpPr>
      <xdr:spPr>
        <a:xfrm>
          <a:off x="10915650" y="16192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</a:rPr>
            <a:t>Resultado</a:t>
          </a:r>
        </a:p>
      </xdr:txBody>
    </xdr:sp>
    <xdr:clientData/>
  </xdr:twoCellAnchor>
  <xdr:twoCellAnchor editAs="oneCell">
    <xdr:from>
      <xdr:col>0</xdr:col>
      <xdr:colOff>200025</xdr:colOff>
      <xdr:row>1</xdr:row>
      <xdr:rowOff>47625</xdr:rowOff>
    </xdr:from>
    <xdr:to>
      <xdr:col>1</xdr:col>
      <xdr:colOff>417229</xdr:colOff>
      <xdr:row>2</xdr:row>
      <xdr:rowOff>171450</xdr:rowOff>
    </xdr:to>
    <xdr:pic>
      <xdr:nvPicPr>
        <xdr:cNvPr id="8" name="Imagem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310DEEE-07D6-45D6-B74B-89BEFC7FA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238125"/>
          <a:ext cx="1464979" cy="3143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523875</xdr:colOff>
      <xdr:row>1</xdr:row>
      <xdr:rowOff>0</xdr:rowOff>
    </xdr:from>
    <xdr:to>
      <xdr:col>9</xdr:col>
      <xdr:colOff>314325</xdr:colOff>
      <xdr:row>3</xdr:row>
      <xdr:rowOff>66675</xdr:rowOff>
    </xdr:to>
    <xdr:sp macro="" textlink="">
      <xdr:nvSpPr>
        <xdr:cNvPr id="2" name="Retângulo: Cantos Arredondados 1">
          <a:hlinkClick xmlns:r="http://schemas.openxmlformats.org/officeDocument/2006/relationships" r:id="rId1" tooltip="Ir para Começo"/>
          <a:extLst>
            <a:ext uri="{FF2B5EF4-FFF2-40B4-BE49-F238E27FC236}">
              <a16:creationId xmlns:a16="http://schemas.microsoft.com/office/drawing/2014/main" id="{0F0B2E85-6F2E-40AD-8C98-A60D35A2A52D}"/>
            </a:ext>
          </a:extLst>
        </xdr:cNvPr>
        <xdr:cNvSpPr/>
      </xdr:nvSpPr>
      <xdr:spPr>
        <a:xfrm>
          <a:off x="4181475" y="190500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+mn-lt"/>
              <a:cs typeface="Segoe UI" panose="020B0502040204020203" pitchFamily="34" charset="0"/>
            </a:rPr>
            <a:t>Começo</a:t>
          </a:r>
        </a:p>
      </xdr:txBody>
    </xdr:sp>
    <xdr:clientData/>
  </xdr:twoCellAnchor>
  <xdr:twoCellAnchor>
    <xdr:from>
      <xdr:col>9</xdr:col>
      <xdr:colOff>371475</xdr:colOff>
      <xdr:row>1</xdr:row>
      <xdr:rowOff>0</xdr:rowOff>
    </xdr:from>
    <xdr:to>
      <xdr:col>12</xdr:col>
      <xdr:colOff>161925</xdr:colOff>
      <xdr:row>3</xdr:row>
      <xdr:rowOff>66675</xdr:rowOff>
    </xdr:to>
    <xdr:sp macro="" textlink="">
      <xdr:nvSpPr>
        <xdr:cNvPr id="3" name="Retângulo: Cantos Arredondados 2">
          <a:hlinkClick xmlns:r="http://schemas.openxmlformats.org/officeDocument/2006/relationships" r:id="rId2" tooltip="Ir para Conteúdo"/>
          <a:extLst>
            <a:ext uri="{FF2B5EF4-FFF2-40B4-BE49-F238E27FC236}">
              <a16:creationId xmlns:a16="http://schemas.microsoft.com/office/drawing/2014/main" id="{702FFDC5-758E-4DE2-9A14-5DA8B3FD467C}"/>
            </a:ext>
          </a:extLst>
        </xdr:cNvPr>
        <xdr:cNvSpPr/>
      </xdr:nvSpPr>
      <xdr:spPr>
        <a:xfrm>
          <a:off x="5857875" y="190500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+mn-lt"/>
              <a:cs typeface="Segoe UI" panose="020B0502040204020203" pitchFamily="34" charset="0"/>
            </a:rPr>
            <a:t>Conteúdo</a:t>
          </a:r>
        </a:p>
        <a:p>
          <a:pPr algn="ctr"/>
          <a:endParaRPr lang="pt-BR" sz="12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219075</xdr:colOff>
      <xdr:row>1</xdr:row>
      <xdr:rowOff>0</xdr:rowOff>
    </xdr:from>
    <xdr:to>
      <xdr:col>15</xdr:col>
      <xdr:colOff>9525</xdr:colOff>
      <xdr:row>3</xdr:row>
      <xdr:rowOff>66675</xdr:rowOff>
    </xdr:to>
    <xdr:sp macro="" textlink="">
      <xdr:nvSpPr>
        <xdr:cNvPr id="4" name="Retângulo: Cantos Arredondados 3">
          <a:hlinkClick xmlns:r="http://schemas.openxmlformats.org/officeDocument/2006/relationships" r:id="rId3" tooltip="Ir para Desempenho"/>
          <a:extLst>
            <a:ext uri="{FF2B5EF4-FFF2-40B4-BE49-F238E27FC236}">
              <a16:creationId xmlns:a16="http://schemas.microsoft.com/office/drawing/2014/main" id="{28830C35-A8E4-4434-806E-418D5345CB97}"/>
            </a:ext>
          </a:extLst>
        </xdr:cNvPr>
        <xdr:cNvSpPr/>
      </xdr:nvSpPr>
      <xdr:spPr>
        <a:xfrm>
          <a:off x="7534275" y="190500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+mn-lt"/>
              <a:cs typeface="Segoe UI" panose="020B0502040204020203" pitchFamily="34" charset="0"/>
            </a:rPr>
            <a:t>Desempenho</a:t>
          </a:r>
        </a:p>
        <a:p>
          <a:pPr algn="ctr"/>
          <a:endParaRPr lang="pt-BR" sz="12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15</xdr:col>
      <xdr:colOff>76200</xdr:colOff>
      <xdr:row>1</xdr:row>
      <xdr:rowOff>0</xdr:rowOff>
    </xdr:from>
    <xdr:to>
      <xdr:col>17</xdr:col>
      <xdr:colOff>476250</xdr:colOff>
      <xdr:row>3</xdr:row>
      <xdr:rowOff>66675</xdr:rowOff>
    </xdr:to>
    <xdr:sp macro="" textlink="">
      <xdr:nvSpPr>
        <xdr:cNvPr id="5" name="Retângulo: Cantos Arredondados 4">
          <a:hlinkClick xmlns:r="http://schemas.openxmlformats.org/officeDocument/2006/relationships" r:id="rId4" tooltip="Ir para Quadro de Horário"/>
          <a:extLst>
            <a:ext uri="{FF2B5EF4-FFF2-40B4-BE49-F238E27FC236}">
              <a16:creationId xmlns:a16="http://schemas.microsoft.com/office/drawing/2014/main" id="{4B5B324D-7F0E-479A-B270-AB1C21DD113E}"/>
            </a:ext>
          </a:extLst>
        </xdr:cNvPr>
        <xdr:cNvSpPr/>
      </xdr:nvSpPr>
      <xdr:spPr>
        <a:xfrm>
          <a:off x="9220200" y="190500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+mn-lt"/>
              <a:cs typeface="Segoe UI" panose="020B0502040204020203" pitchFamily="34" charset="0"/>
            </a:rPr>
            <a:t>Quadro de Horário</a:t>
          </a:r>
        </a:p>
        <a:p>
          <a:pPr algn="ctr"/>
          <a:endParaRPr lang="pt-BR" sz="12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17</xdr:col>
      <xdr:colOff>542925</xdr:colOff>
      <xdr:row>1</xdr:row>
      <xdr:rowOff>0</xdr:rowOff>
    </xdr:from>
    <xdr:to>
      <xdr:col>20</xdr:col>
      <xdr:colOff>333375</xdr:colOff>
      <xdr:row>3</xdr:row>
      <xdr:rowOff>66675</xdr:rowOff>
    </xdr:to>
    <xdr:sp macro="" textlink="">
      <xdr:nvSpPr>
        <xdr:cNvPr id="6" name="Retângulo: Cantos Arredondados 5">
          <a:hlinkClick xmlns:r="http://schemas.openxmlformats.org/officeDocument/2006/relationships" r:id="rId5" tooltip="Você está em Resultado"/>
          <a:extLst>
            <a:ext uri="{FF2B5EF4-FFF2-40B4-BE49-F238E27FC236}">
              <a16:creationId xmlns:a16="http://schemas.microsoft.com/office/drawing/2014/main" id="{93A1D2B3-B5A5-422C-98D3-E3298F69552A}"/>
            </a:ext>
          </a:extLst>
        </xdr:cNvPr>
        <xdr:cNvSpPr/>
      </xdr:nvSpPr>
      <xdr:spPr>
        <a:xfrm>
          <a:off x="10906125" y="190500"/>
          <a:ext cx="1619250" cy="447675"/>
        </a:xfrm>
        <a:prstGeom prst="roundRect">
          <a:avLst>
            <a:gd name="adj" fmla="val 50000"/>
          </a:avLst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+mn-lt"/>
            </a:rPr>
            <a:t>Resultado</a:t>
          </a:r>
        </a:p>
      </xdr:txBody>
    </xdr:sp>
    <xdr:clientData/>
  </xdr:twoCellAnchor>
  <xdr:twoCellAnchor>
    <xdr:from>
      <xdr:col>0</xdr:col>
      <xdr:colOff>123825</xdr:colOff>
      <xdr:row>13</xdr:row>
      <xdr:rowOff>123824</xdr:rowOff>
    </xdr:from>
    <xdr:to>
      <xdr:col>20</xdr:col>
      <xdr:colOff>238125</xdr:colOff>
      <xdr:row>48</xdr:row>
      <xdr:rowOff>0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14D5319F-D60A-4E33-9E1D-5586530C12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142875</xdr:colOff>
      <xdr:row>1</xdr:row>
      <xdr:rowOff>57150</xdr:rowOff>
    </xdr:from>
    <xdr:to>
      <xdr:col>2</xdr:col>
      <xdr:colOff>379129</xdr:colOff>
      <xdr:row>2</xdr:row>
      <xdr:rowOff>180975</xdr:rowOff>
    </xdr:to>
    <xdr:pic>
      <xdr:nvPicPr>
        <xdr:cNvPr id="9" name="Imagem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F8A8E32-8F6B-476F-92CD-23010ABC76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247650"/>
          <a:ext cx="1464979" cy="3143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142874</xdr:colOff>
      <xdr:row>1</xdr:row>
      <xdr:rowOff>28577</xdr:rowOff>
    </xdr:from>
    <xdr:to>
      <xdr:col>18</xdr:col>
      <xdr:colOff>152399</xdr:colOff>
      <xdr:row>14</xdr:row>
      <xdr:rowOff>57150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425CEB2-1423-4160-88C8-C444926588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9524</xdr:colOff>
      <xdr:row>20</xdr:row>
      <xdr:rowOff>161924</xdr:rowOff>
    </xdr:from>
    <xdr:to>
      <xdr:col>18</xdr:col>
      <xdr:colOff>171449</xdr:colOff>
      <xdr:row>30</xdr:row>
      <xdr:rowOff>161925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7A40807-B881-497C-8A02-EB0FE5DF29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304800</xdr:colOff>
      <xdr:row>8</xdr:row>
      <xdr:rowOff>38100</xdr:rowOff>
    </xdr:from>
    <xdr:to>
      <xdr:col>11</xdr:col>
      <xdr:colOff>788704</xdr:colOff>
      <xdr:row>8</xdr:row>
      <xdr:rowOff>352425</xdr:rowOff>
    </xdr:to>
    <xdr:pic>
      <xdr:nvPicPr>
        <xdr:cNvPr id="7" name="Imagem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AD16DA7-4341-4544-ABBE-3E7FC056C3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95925" y="2085975"/>
          <a:ext cx="1464979" cy="3143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142874</xdr:colOff>
      <xdr:row>1</xdr:row>
      <xdr:rowOff>28575</xdr:rowOff>
    </xdr:from>
    <xdr:to>
      <xdr:col>18</xdr:col>
      <xdr:colOff>152399</xdr:colOff>
      <xdr:row>15</xdr:row>
      <xdr:rowOff>152396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5566B7C-A2B2-4CEB-BF51-CCB9A8270B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104774</xdr:colOff>
      <xdr:row>20</xdr:row>
      <xdr:rowOff>95249</xdr:rowOff>
    </xdr:from>
    <xdr:to>
      <xdr:col>18</xdr:col>
      <xdr:colOff>171450</xdr:colOff>
      <xdr:row>31</xdr:row>
      <xdr:rowOff>9524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CA14841-0C3B-40FE-B31C-7848B8932B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314325</xdr:colOff>
      <xdr:row>8</xdr:row>
      <xdr:rowOff>47625</xdr:rowOff>
    </xdr:from>
    <xdr:to>
      <xdr:col>11</xdr:col>
      <xdr:colOff>798229</xdr:colOff>
      <xdr:row>8</xdr:row>
      <xdr:rowOff>361950</xdr:rowOff>
    </xdr:to>
    <xdr:pic>
      <xdr:nvPicPr>
        <xdr:cNvPr id="6" name="Imagem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362D04A-9193-4DCB-A4DB-96E059933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5450" y="2095500"/>
          <a:ext cx="1464979" cy="31432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142874</xdr:colOff>
      <xdr:row>1</xdr:row>
      <xdr:rowOff>28576</xdr:rowOff>
    </xdr:from>
    <xdr:to>
      <xdr:col>18</xdr:col>
      <xdr:colOff>152399</xdr:colOff>
      <xdr:row>13</xdr:row>
      <xdr:rowOff>352426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4AE45F2-0A23-4C5D-8D42-8FDB1CF455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21</xdr:row>
      <xdr:rowOff>1</xdr:rowOff>
    </xdr:from>
    <xdr:to>
      <xdr:col>18</xdr:col>
      <xdr:colOff>161925</xdr:colOff>
      <xdr:row>31</xdr:row>
      <xdr:rowOff>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984AEEE-CC9D-4AA3-8744-0C6665D8A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276225</xdr:colOff>
      <xdr:row>8</xdr:row>
      <xdr:rowOff>47625</xdr:rowOff>
    </xdr:from>
    <xdr:to>
      <xdr:col>11</xdr:col>
      <xdr:colOff>760129</xdr:colOff>
      <xdr:row>8</xdr:row>
      <xdr:rowOff>361950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601F4A6-F541-4A4B-8EB6-0C8342904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67350" y="2095500"/>
          <a:ext cx="1464979" cy="31432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142874</xdr:colOff>
      <xdr:row>1</xdr:row>
      <xdr:rowOff>28575</xdr:rowOff>
    </xdr:from>
    <xdr:to>
      <xdr:col>18</xdr:col>
      <xdr:colOff>152399</xdr:colOff>
      <xdr:row>15</xdr:row>
      <xdr:rowOff>152396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CC62A58-7771-4DD0-BD81-8BDCA423DA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21</xdr:row>
      <xdr:rowOff>0</xdr:rowOff>
    </xdr:from>
    <xdr:to>
      <xdr:col>18</xdr:col>
      <xdr:colOff>161925</xdr:colOff>
      <xdr:row>31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A142223-6F54-4237-9524-07162636FD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295275</xdr:colOff>
      <xdr:row>8</xdr:row>
      <xdr:rowOff>57150</xdr:rowOff>
    </xdr:from>
    <xdr:to>
      <xdr:col>11</xdr:col>
      <xdr:colOff>779179</xdr:colOff>
      <xdr:row>8</xdr:row>
      <xdr:rowOff>371475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903C59D-579F-4591-9A65-073D249128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0" y="2105025"/>
          <a:ext cx="1464979" cy="31432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142874</xdr:colOff>
      <xdr:row>1</xdr:row>
      <xdr:rowOff>28575</xdr:rowOff>
    </xdr:from>
    <xdr:to>
      <xdr:col>18</xdr:col>
      <xdr:colOff>152399</xdr:colOff>
      <xdr:row>15</xdr:row>
      <xdr:rowOff>152396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7EF6D5F-BDCA-4968-99F0-322B3E765D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21</xdr:row>
      <xdr:rowOff>0</xdr:rowOff>
    </xdr:from>
    <xdr:to>
      <xdr:col>18</xdr:col>
      <xdr:colOff>161925</xdr:colOff>
      <xdr:row>31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B272423-AFDC-46CF-98CA-C13EE3B5A5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228600</xdr:colOff>
      <xdr:row>8</xdr:row>
      <xdr:rowOff>47625</xdr:rowOff>
    </xdr:from>
    <xdr:to>
      <xdr:col>11</xdr:col>
      <xdr:colOff>712504</xdr:colOff>
      <xdr:row>8</xdr:row>
      <xdr:rowOff>361950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45EB371-8F2F-4F1F-852D-0228AB9D8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9725" y="2095500"/>
          <a:ext cx="1464979" cy="31432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142874</xdr:colOff>
      <xdr:row>1</xdr:row>
      <xdr:rowOff>28575</xdr:rowOff>
    </xdr:from>
    <xdr:to>
      <xdr:col>18</xdr:col>
      <xdr:colOff>152399</xdr:colOff>
      <xdr:row>15</xdr:row>
      <xdr:rowOff>152396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9766FCD-8D8C-4B88-82F3-0DDBB6CCB9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21</xdr:row>
      <xdr:rowOff>0</xdr:rowOff>
    </xdr:from>
    <xdr:to>
      <xdr:col>18</xdr:col>
      <xdr:colOff>161925</xdr:colOff>
      <xdr:row>31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C96B5B9-3A9D-4B61-BA35-F93F5702C9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276225</xdr:colOff>
      <xdr:row>8</xdr:row>
      <xdr:rowOff>47625</xdr:rowOff>
    </xdr:from>
    <xdr:to>
      <xdr:col>11</xdr:col>
      <xdr:colOff>760129</xdr:colOff>
      <xdr:row>8</xdr:row>
      <xdr:rowOff>361950</xdr:rowOff>
    </xdr:to>
    <xdr:pic>
      <xdr:nvPicPr>
        <xdr:cNvPr id="4" name="Imagem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8CE61C2-79E8-40FA-A312-3D44263B4F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67350" y="2095500"/>
          <a:ext cx="1464979" cy="31432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142874</xdr:colOff>
      <xdr:row>1</xdr:row>
      <xdr:rowOff>28575</xdr:rowOff>
    </xdr:from>
    <xdr:to>
      <xdr:col>18</xdr:col>
      <xdr:colOff>152399</xdr:colOff>
      <xdr:row>15</xdr:row>
      <xdr:rowOff>152396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8DE2E13-148C-4CB3-AC9A-F7B7735151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21</xdr:row>
      <xdr:rowOff>0</xdr:rowOff>
    </xdr:from>
    <xdr:to>
      <xdr:col>18</xdr:col>
      <xdr:colOff>161925</xdr:colOff>
      <xdr:row>31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8F68712-3A3D-4D2F-83B8-8C2F7D53D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314325</xdr:colOff>
      <xdr:row>8</xdr:row>
      <xdr:rowOff>38100</xdr:rowOff>
    </xdr:from>
    <xdr:to>
      <xdr:col>11</xdr:col>
      <xdr:colOff>798229</xdr:colOff>
      <xdr:row>8</xdr:row>
      <xdr:rowOff>352425</xdr:rowOff>
    </xdr:to>
    <xdr:pic>
      <xdr:nvPicPr>
        <xdr:cNvPr id="4" name="Imagem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FCD9B-51BA-4A2F-BD20-7AC91DF1E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5450" y="2085975"/>
          <a:ext cx="1464979" cy="314325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142874</xdr:colOff>
      <xdr:row>1</xdr:row>
      <xdr:rowOff>28575</xdr:rowOff>
    </xdr:from>
    <xdr:to>
      <xdr:col>18</xdr:col>
      <xdr:colOff>152399</xdr:colOff>
      <xdr:row>15</xdr:row>
      <xdr:rowOff>152396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D4A9D0A-C18E-49CF-B32B-93DE9BBC70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21</xdr:row>
      <xdr:rowOff>0</xdr:rowOff>
    </xdr:from>
    <xdr:to>
      <xdr:col>18</xdr:col>
      <xdr:colOff>161925</xdr:colOff>
      <xdr:row>31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3247922-562E-47B6-97E8-A2568FF506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285750</xdr:colOff>
      <xdr:row>8</xdr:row>
      <xdr:rowOff>66675</xdr:rowOff>
    </xdr:from>
    <xdr:to>
      <xdr:col>11</xdr:col>
      <xdr:colOff>769654</xdr:colOff>
      <xdr:row>9</xdr:row>
      <xdr:rowOff>0</xdr:rowOff>
    </xdr:to>
    <xdr:pic>
      <xdr:nvPicPr>
        <xdr:cNvPr id="4" name="Imagem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1475AE9-4833-4869-BFC7-C093A5E1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2114550"/>
          <a:ext cx="1464979" cy="314325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142874</xdr:colOff>
      <xdr:row>1</xdr:row>
      <xdr:rowOff>28575</xdr:rowOff>
    </xdr:from>
    <xdr:to>
      <xdr:col>18</xdr:col>
      <xdr:colOff>152399</xdr:colOff>
      <xdr:row>15</xdr:row>
      <xdr:rowOff>152396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010E5C6-A7D1-48F8-9BA5-9576C42369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21</xdr:row>
      <xdr:rowOff>0</xdr:rowOff>
    </xdr:from>
    <xdr:to>
      <xdr:col>18</xdr:col>
      <xdr:colOff>161925</xdr:colOff>
      <xdr:row>31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B42CF21-2392-49CA-A76D-194A03C0CE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352425</xdr:colOff>
      <xdr:row>8</xdr:row>
      <xdr:rowOff>38100</xdr:rowOff>
    </xdr:from>
    <xdr:to>
      <xdr:col>11</xdr:col>
      <xdr:colOff>836329</xdr:colOff>
      <xdr:row>8</xdr:row>
      <xdr:rowOff>352425</xdr:rowOff>
    </xdr:to>
    <xdr:pic>
      <xdr:nvPicPr>
        <xdr:cNvPr id="4" name="Imagem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CC6CDC8-7D42-4762-91AC-DD1D6E3D7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3550" y="2085975"/>
          <a:ext cx="1464979" cy="314325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142874</xdr:colOff>
      <xdr:row>1</xdr:row>
      <xdr:rowOff>28575</xdr:rowOff>
    </xdr:from>
    <xdr:to>
      <xdr:col>18</xdr:col>
      <xdr:colOff>152399</xdr:colOff>
      <xdr:row>15</xdr:row>
      <xdr:rowOff>152396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59D462-6453-42FC-A896-7A6093A1F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21</xdr:row>
      <xdr:rowOff>0</xdr:rowOff>
    </xdr:from>
    <xdr:to>
      <xdr:col>18</xdr:col>
      <xdr:colOff>161925</xdr:colOff>
      <xdr:row>31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2F841EE-88E1-42AB-9599-BBABAB005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266700</xdr:colOff>
      <xdr:row>8</xdr:row>
      <xdr:rowOff>47625</xdr:rowOff>
    </xdr:from>
    <xdr:to>
      <xdr:col>11</xdr:col>
      <xdr:colOff>750604</xdr:colOff>
      <xdr:row>8</xdr:row>
      <xdr:rowOff>361950</xdr:rowOff>
    </xdr:to>
    <xdr:pic>
      <xdr:nvPicPr>
        <xdr:cNvPr id="4" name="Imagem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EDA0990-40BA-42E9-BD9A-28EA2749E4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7825" y="2095500"/>
          <a:ext cx="1464979" cy="314325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142874</xdr:colOff>
      <xdr:row>1</xdr:row>
      <xdr:rowOff>28575</xdr:rowOff>
    </xdr:from>
    <xdr:to>
      <xdr:col>18</xdr:col>
      <xdr:colOff>152399</xdr:colOff>
      <xdr:row>15</xdr:row>
      <xdr:rowOff>152396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BEA4C7D-4E1B-448F-BB76-B4F6A89932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21</xdr:row>
      <xdr:rowOff>0</xdr:rowOff>
    </xdr:from>
    <xdr:to>
      <xdr:col>18</xdr:col>
      <xdr:colOff>161925</xdr:colOff>
      <xdr:row>31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9FC9A05-A171-42D4-940E-10C2721681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323850</xdr:colOff>
      <xdr:row>8</xdr:row>
      <xdr:rowOff>57150</xdr:rowOff>
    </xdr:from>
    <xdr:to>
      <xdr:col>11</xdr:col>
      <xdr:colOff>807754</xdr:colOff>
      <xdr:row>8</xdr:row>
      <xdr:rowOff>371475</xdr:rowOff>
    </xdr:to>
    <xdr:pic>
      <xdr:nvPicPr>
        <xdr:cNvPr id="4" name="Imagem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B101D48-5D61-4D2A-BE22-ED865D7E5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4975" y="2105025"/>
          <a:ext cx="1464979" cy="314325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142874</xdr:colOff>
      <xdr:row>1</xdr:row>
      <xdr:rowOff>28575</xdr:rowOff>
    </xdr:from>
    <xdr:to>
      <xdr:col>18</xdr:col>
      <xdr:colOff>152399</xdr:colOff>
      <xdr:row>15</xdr:row>
      <xdr:rowOff>152396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0EF1E04-6E6E-4D1B-9037-6C1561AC8F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21</xdr:row>
      <xdr:rowOff>0</xdr:rowOff>
    </xdr:from>
    <xdr:to>
      <xdr:col>18</xdr:col>
      <xdr:colOff>161925</xdr:colOff>
      <xdr:row>31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9698639-71B3-47AB-8218-4608D38634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352425</xdr:colOff>
      <xdr:row>8</xdr:row>
      <xdr:rowOff>47625</xdr:rowOff>
    </xdr:from>
    <xdr:to>
      <xdr:col>11</xdr:col>
      <xdr:colOff>836329</xdr:colOff>
      <xdr:row>8</xdr:row>
      <xdr:rowOff>361950</xdr:rowOff>
    </xdr:to>
    <xdr:pic>
      <xdr:nvPicPr>
        <xdr:cNvPr id="4" name="Imagem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492C71F-02C6-4A27-8A87-55E9E0EC4B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3550" y="2095500"/>
          <a:ext cx="1464979" cy="314325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142874</xdr:colOff>
      <xdr:row>1</xdr:row>
      <xdr:rowOff>28575</xdr:rowOff>
    </xdr:from>
    <xdr:to>
      <xdr:col>18</xdr:col>
      <xdr:colOff>152399</xdr:colOff>
      <xdr:row>15</xdr:row>
      <xdr:rowOff>152396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E691742-5562-4EFA-A37B-D6218230EF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21</xdr:row>
      <xdr:rowOff>0</xdr:rowOff>
    </xdr:from>
    <xdr:to>
      <xdr:col>18</xdr:col>
      <xdr:colOff>161925</xdr:colOff>
      <xdr:row>31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7EF5900-C788-4CE7-A372-9E4D4B8529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409575</xdr:colOff>
      <xdr:row>8</xdr:row>
      <xdr:rowOff>66675</xdr:rowOff>
    </xdr:from>
    <xdr:to>
      <xdr:col>11</xdr:col>
      <xdr:colOff>893479</xdr:colOff>
      <xdr:row>9</xdr:row>
      <xdr:rowOff>0</xdr:rowOff>
    </xdr:to>
    <xdr:pic>
      <xdr:nvPicPr>
        <xdr:cNvPr id="4" name="Imagem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C76B8B-B706-44B7-BD8C-0A72916C3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2114550"/>
          <a:ext cx="1464979" cy="314325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142874</xdr:colOff>
      <xdr:row>1</xdr:row>
      <xdr:rowOff>28575</xdr:rowOff>
    </xdr:from>
    <xdr:to>
      <xdr:col>18</xdr:col>
      <xdr:colOff>152399</xdr:colOff>
      <xdr:row>15</xdr:row>
      <xdr:rowOff>152396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CDED463-C68E-49B6-BD61-C568421534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21</xdr:row>
      <xdr:rowOff>0</xdr:rowOff>
    </xdr:from>
    <xdr:to>
      <xdr:col>18</xdr:col>
      <xdr:colOff>161925</xdr:colOff>
      <xdr:row>31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A91CA2F-C87E-4FDF-8855-BD161D6010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381000</xdr:colOff>
      <xdr:row>8</xdr:row>
      <xdr:rowOff>47625</xdr:rowOff>
    </xdr:from>
    <xdr:to>
      <xdr:col>11</xdr:col>
      <xdr:colOff>864904</xdr:colOff>
      <xdr:row>8</xdr:row>
      <xdr:rowOff>361950</xdr:rowOff>
    </xdr:to>
    <xdr:pic>
      <xdr:nvPicPr>
        <xdr:cNvPr id="4" name="Imagem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81AE3FE-17D2-4657-87CC-F75CC80433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2125" y="2095500"/>
          <a:ext cx="1464979" cy="314325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142874</xdr:colOff>
      <xdr:row>1</xdr:row>
      <xdr:rowOff>28575</xdr:rowOff>
    </xdr:from>
    <xdr:to>
      <xdr:col>18</xdr:col>
      <xdr:colOff>152399</xdr:colOff>
      <xdr:row>15</xdr:row>
      <xdr:rowOff>152396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E636D98-0750-4178-BE01-2F5A41CEEF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21</xdr:row>
      <xdr:rowOff>0</xdr:rowOff>
    </xdr:from>
    <xdr:to>
      <xdr:col>18</xdr:col>
      <xdr:colOff>161925</xdr:colOff>
      <xdr:row>31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FE2C0E2-303F-4DCD-8617-780DD21F02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333375</xdr:colOff>
      <xdr:row>8</xdr:row>
      <xdr:rowOff>66675</xdr:rowOff>
    </xdr:from>
    <xdr:to>
      <xdr:col>11</xdr:col>
      <xdr:colOff>817279</xdr:colOff>
      <xdr:row>9</xdr:row>
      <xdr:rowOff>0</xdr:rowOff>
    </xdr:to>
    <xdr:pic>
      <xdr:nvPicPr>
        <xdr:cNvPr id="4" name="Imagem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21838CB-5AE4-41F3-B856-31823424D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0" y="2114550"/>
          <a:ext cx="1464979" cy="31432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161924</xdr:colOff>
      <xdr:row>0</xdr:row>
      <xdr:rowOff>95250</xdr:rowOff>
    </xdr:from>
    <xdr:to>
      <xdr:col>18</xdr:col>
      <xdr:colOff>171449</xdr:colOff>
      <xdr:row>15</xdr:row>
      <xdr:rowOff>114296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E3DF7D0-F2D2-4174-A6AA-6A50D01ED3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21</xdr:row>
      <xdr:rowOff>0</xdr:rowOff>
    </xdr:from>
    <xdr:to>
      <xdr:col>18</xdr:col>
      <xdr:colOff>161925</xdr:colOff>
      <xdr:row>31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7EEDE7C-580D-4605-95C8-B0796B5BD1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400050</xdr:colOff>
      <xdr:row>8</xdr:row>
      <xdr:rowOff>47625</xdr:rowOff>
    </xdr:from>
    <xdr:to>
      <xdr:col>11</xdr:col>
      <xdr:colOff>883954</xdr:colOff>
      <xdr:row>8</xdr:row>
      <xdr:rowOff>361950</xdr:rowOff>
    </xdr:to>
    <xdr:pic>
      <xdr:nvPicPr>
        <xdr:cNvPr id="4" name="Imagem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DB513B7-4244-46F9-ACFF-C67F70C2FD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91175" y="2095500"/>
          <a:ext cx="1464979" cy="31432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0</xdr:row>
      <xdr:rowOff>142875</xdr:rowOff>
    </xdr:from>
    <xdr:to>
      <xdr:col>11</xdr:col>
      <xdr:colOff>38100</xdr:colOff>
      <xdr:row>3</xdr:row>
      <xdr:rowOff>19050</xdr:rowOff>
    </xdr:to>
    <xdr:sp macro="" textlink="">
      <xdr:nvSpPr>
        <xdr:cNvPr id="2" name="Retângulo: Cantos Arredondados 1">
          <a:hlinkClick xmlns:r="http://schemas.openxmlformats.org/officeDocument/2006/relationships" r:id="rId1" tooltip="Ir para Começo"/>
          <a:extLst>
            <a:ext uri="{FF2B5EF4-FFF2-40B4-BE49-F238E27FC236}">
              <a16:creationId xmlns:a16="http://schemas.microsoft.com/office/drawing/2014/main" id="{7B12623D-AC7B-4C9F-B396-63F1C282492D}"/>
            </a:ext>
          </a:extLst>
        </xdr:cNvPr>
        <xdr:cNvSpPr/>
      </xdr:nvSpPr>
      <xdr:spPr>
        <a:xfrm>
          <a:off x="415290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Começo</a:t>
          </a:r>
        </a:p>
      </xdr:txBody>
    </xdr:sp>
    <xdr:clientData/>
  </xdr:twoCellAnchor>
  <xdr:twoCellAnchor>
    <xdr:from>
      <xdr:col>11</xdr:col>
      <xdr:colOff>95250</xdr:colOff>
      <xdr:row>0</xdr:row>
      <xdr:rowOff>142875</xdr:rowOff>
    </xdr:from>
    <xdr:to>
      <xdr:col>13</xdr:col>
      <xdr:colOff>142875</xdr:colOff>
      <xdr:row>3</xdr:row>
      <xdr:rowOff>19050</xdr:rowOff>
    </xdr:to>
    <xdr:sp macro="" textlink="">
      <xdr:nvSpPr>
        <xdr:cNvPr id="3" name="Retângulo: Cantos Arredondados 2">
          <a:hlinkClick xmlns:r="http://schemas.openxmlformats.org/officeDocument/2006/relationships" r:id="rId2" tooltip="Ir para Conteúdo"/>
          <a:extLst>
            <a:ext uri="{FF2B5EF4-FFF2-40B4-BE49-F238E27FC236}">
              <a16:creationId xmlns:a16="http://schemas.microsoft.com/office/drawing/2014/main" id="{F0E548C1-8200-440D-B70B-56E1AC4BA675}"/>
            </a:ext>
          </a:extLst>
        </xdr:cNvPr>
        <xdr:cNvSpPr/>
      </xdr:nvSpPr>
      <xdr:spPr>
        <a:xfrm>
          <a:off x="582930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Conteúdo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13</xdr:col>
      <xdr:colOff>200025</xdr:colOff>
      <xdr:row>0</xdr:row>
      <xdr:rowOff>142875</xdr:rowOff>
    </xdr:from>
    <xdr:to>
      <xdr:col>15</xdr:col>
      <xdr:colOff>600075</xdr:colOff>
      <xdr:row>3</xdr:row>
      <xdr:rowOff>19050</xdr:rowOff>
    </xdr:to>
    <xdr:sp macro="" textlink="">
      <xdr:nvSpPr>
        <xdr:cNvPr id="4" name="Retângulo: Cantos Arredondados 3">
          <a:hlinkClick xmlns:r="http://schemas.openxmlformats.org/officeDocument/2006/relationships" r:id="rId3" tooltip="Você está em Desempenho"/>
          <a:extLst>
            <a:ext uri="{FF2B5EF4-FFF2-40B4-BE49-F238E27FC236}">
              <a16:creationId xmlns:a16="http://schemas.microsoft.com/office/drawing/2014/main" id="{D898AEF3-83FF-47ED-A9F1-4AEA4A37728C}"/>
            </a:ext>
          </a:extLst>
        </xdr:cNvPr>
        <xdr:cNvSpPr/>
      </xdr:nvSpPr>
      <xdr:spPr>
        <a:xfrm>
          <a:off x="750570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Desempenho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57150</xdr:colOff>
      <xdr:row>0</xdr:row>
      <xdr:rowOff>142875</xdr:rowOff>
    </xdr:from>
    <xdr:to>
      <xdr:col>18</xdr:col>
      <xdr:colOff>457200</xdr:colOff>
      <xdr:row>3</xdr:row>
      <xdr:rowOff>19050</xdr:rowOff>
    </xdr:to>
    <xdr:sp macro="" textlink="">
      <xdr:nvSpPr>
        <xdr:cNvPr id="5" name="Retângulo: Cantos Arredondados 4">
          <a:hlinkClick xmlns:r="http://schemas.openxmlformats.org/officeDocument/2006/relationships" r:id="rId4" tooltip="Ir para Quadro de Horário"/>
          <a:extLst>
            <a:ext uri="{FF2B5EF4-FFF2-40B4-BE49-F238E27FC236}">
              <a16:creationId xmlns:a16="http://schemas.microsoft.com/office/drawing/2014/main" id="{20B13D5C-A64E-4933-A451-BEA5E152FB97}"/>
            </a:ext>
          </a:extLst>
        </xdr:cNvPr>
        <xdr:cNvSpPr/>
      </xdr:nvSpPr>
      <xdr:spPr>
        <a:xfrm>
          <a:off x="9191625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Quadro de Horário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18</xdr:col>
      <xdr:colOff>523875</xdr:colOff>
      <xdr:row>0</xdr:row>
      <xdr:rowOff>142875</xdr:rowOff>
    </xdr:from>
    <xdr:to>
      <xdr:col>21</xdr:col>
      <xdr:colOff>314325</xdr:colOff>
      <xdr:row>3</xdr:row>
      <xdr:rowOff>19050</xdr:rowOff>
    </xdr:to>
    <xdr:sp macro="" textlink="">
      <xdr:nvSpPr>
        <xdr:cNvPr id="6" name="Retângulo: Cantos Arredondados 5">
          <a:hlinkClick xmlns:r="http://schemas.openxmlformats.org/officeDocument/2006/relationships" r:id="rId5" tooltip="Ir para Resultado"/>
          <a:extLst>
            <a:ext uri="{FF2B5EF4-FFF2-40B4-BE49-F238E27FC236}">
              <a16:creationId xmlns:a16="http://schemas.microsoft.com/office/drawing/2014/main" id="{232BE198-E629-416F-B898-F7D502DEF14F}"/>
            </a:ext>
          </a:extLst>
        </xdr:cNvPr>
        <xdr:cNvSpPr/>
      </xdr:nvSpPr>
      <xdr:spPr>
        <a:xfrm>
          <a:off x="1087755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</a:rPr>
            <a:t>Resultado</a:t>
          </a:r>
        </a:p>
      </xdr:txBody>
    </xdr:sp>
    <xdr:clientData/>
  </xdr:twoCellAnchor>
  <xdr:twoCellAnchor editAs="oneCell">
    <xdr:from>
      <xdr:col>0</xdr:col>
      <xdr:colOff>123825</xdr:colOff>
      <xdr:row>1</xdr:row>
      <xdr:rowOff>57150</xdr:rowOff>
    </xdr:from>
    <xdr:to>
      <xdr:col>3</xdr:col>
      <xdr:colOff>131479</xdr:colOff>
      <xdr:row>2</xdr:row>
      <xdr:rowOff>180975</xdr:rowOff>
    </xdr:to>
    <xdr:pic>
      <xdr:nvPicPr>
        <xdr:cNvPr id="7" name="Imagem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3D145EF-D020-4D1A-A98E-859529084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247650"/>
          <a:ext cx="1464979" cy="314325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0</xdr:row>
      <xdr:rowOff>142875</xdr:rowOff>
    </xdr:from>
    <xdr:to>
      <xdr:col>11</xdr:col>
      <xdr:colOff>38100</xdr:colOff>
      <xdr:row>3</xdr:row>
      <xdr:rowOff>19050</xdr:rowOff>
    </xdr:to>
    <xdr:sp macro="" textlink="">
      <xdr:nvSpPr>
        <xdr:cNvPr id="2" name="Retângulo: Cantos Arredondados 1">
          <a:hlinkClick xmlns:r="http://schemas.openxmlformats.org/officeDocument/2006/relationships" r:id="rId1" tooltip="Ir para Começo"/>
          <a:extLst>
            <a:ext uri="{FF2B5EF4-FFF2-40B4-BE49-F238E27FC236}">
              <a16:creationId xmlns:a16="http://schemas.microsoft.com/office/drawing/2014/main" id="{F053BA5E-B359-4E62-A28E-4369C5EC8FFC}"/>
            </a:ext>
          </a:extLst>
        </xdr:cNvPr>
        <xdr:cNvSpPr/>
      </xdr:nvSpPr>
      <xdr:spPr>
        <a:xfrm>
          <a:off x="415290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Começo</a:t>
          </a:r>
        </a:p>
      </xdr:txBody>
    </xdr:sp>
    <xdr:clientData/>
  </xdr:twoCellAnchor>
  <xdr:twoCellAnchor>
    <xdr:from>
      <xdr:col>11</xdr:col>
      <xdr:colOff>95250</xdr:colOff>
      <xdr:row>0</xdr:row>
      <xdr:rowOff>142875</xdr:rowOff>
    </xdr:from>
    <xdr:to>
      <xdr:col>13</xdr:col>
      <xdr:colOff>142875</xdr:colOff>
      <xdr:row>3</xdr:row>
      <xdr:rowOff>19050</xdr:rowOff>
    </xdr:to>
    <xdr:sp macro="" textlink="">
      <xdr:nvSpPr>
        <xdr:cNvPr id="3" name="Retângulo: Cantos Arredondados 2">
          <a:hlinkClick xmlns:r="http://schemas.openxmlformats.org/officeDocument/2006/relationships" r:id="rId2" tooltip="Ir para Conteúdo"/>
          <a:extLst>
            <a:ext uri="{FF2B5EF4-FFF2-40B4-BE49-F238E27FC236}">
              <a16:creationId xmlns:a16="http://schemas.microsoft.com/office/drawing/2014/main" id="{23CC77E1-EADA-485B-BF96-1A2C92055573}"/>
            </a:ext>
          </a:extLst>
        </xdr:cNvPr>
        <xdr:cNvSpPr/>
      </xdr:nvSpPr>
      <xdr:spPr>
        <a:xfrm>
          <a:off x="582930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Conteúdo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13</xdr:col>
      <xdr:colOff>200025</xdr:colOff>
      <xdr:row>0</xdr:row>
      <xdr:rowOff>142875</xdr:rowOff>
    </xdr:from>
    <xdr:to>
      <xdr:col>15</xdr:col>
      <xdr:colOff>600075</xdr:colOff>
      <xdr:row>3</xdr:row>
      <xdr:rowOff>19050</xdr:rowOff>
    </xdr:to>
    <xdr:sp macro="" textlink="">
      <xdr:nvSpPr>
        <xdr:cNvPr id="4" name="Retângulo: Cantos Arredondados 3">
          <a:hlinkClick xmlns:r="http://schemas.openxmlformats.org/officeDocument/2006/relationships" r:id="rId3" tooltip="Você está em Desempenho"/>
          <a:extLst>
            <a:ext uri="{FF2B5EF4-FFF2-40B4-BE49-F238E27FC236}">
              <a16:creationId xmlns:a16="http://schemas.microsoft.com/office/drawing/2014/main" id="{56EECFFE-69CB-437B-8A3E-F04CE33047AA}"/>
            </a:ext>
          </a:extLst>
        </xdr:cNvPr>
        <xdr:cNvSpPr/>
      </xdr:nvSpPr>
      <xdr:spPr>
        <a:xfrm>
          <a:off x="750570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Desempenho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57150</xdr:colOff>
      <xdr:row>0</xdr:row>
      <xdr:rowOff>142875</xdr:rowOff>
    </xdr:from>
    <xdr:to>
      <xdr:col>18</xdr:col>
      <xdr:colOff>457200</xdr:colOff>
      <xdr:row>3</xdr:row>
      <xdr:rowOff>19050</xdr:rowOff>
    </xdr:to>
    <xdr:sp macro="" textlink="">
      <xdr:nvSpPr>
        <xdr:cNvPr id="5" name="Retângulo: Cantos Arredondados 4">
          <a:hlinkClick xmlns:r="http://schemas.openxmlformats.org/officeDocument/2006/relationships" r:id="rId4" tooltip="Ir para Quadro de Horário"/>
          <a:extLst>
            <a:ext uri="{FF2B5EF4-FFF2-40B4-BE49-F238E27FC236}">
              <a16:creationId xmlns:a16="http://schemas.microsoft.com/office/drawing/2014/main" id="{82EBB889-AAAE-476C-A321-DE9F0F87AC5F}"/>
            </a:ext>
          </a:extLst>
        </xdr:cNvPr>
        <xdr:cNvSpPr/>
      </xdr:nvSpPr>
      <xdr:spPr>
        <a:xfrm>
          <a:off x="9191625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Quadro de Horário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18</xdr:col>
      <xdr:colOff>523875</xdr:colOff>
      <xdr:row>0</xdr:row>
      <xdr:rowOff>142875</xdr:rowOff>
    </xdr:from>
    <xdr:to>
      <xdr:col>21</xdr:col>
      <xdr:colOff>314325</xdr:colOff>
      <xdr:row>3</xdr:row>
      <xdr:rowOff>19050</xdr:rowOff>
    </xdr:to>
    <xdr:sp macro="" textlink="">
      <xdr:nvSpPr>
        <xdr:cNvPr id="6" name="Retângulo: Cantos Arredondados 5">
          <a:hlinkClick xmlns:r="http://schemas.openxmlformats.org/officeDocument/2006/relationships" r:id="rId5" tooltip="Ir para Resultado"/>
          <a:extLst>
            <a:ext uri="{FF2B5EF4-FFF2-40B4-BE49-F238E27FC236}">
              <a16:creationId xmlns:a16="http://schemas.microsoft.com/office/drawing/2014/main" id="{78F7DE3C-6502-4B03-B110-84AD240D3A1D}"/>
            </a:ext>
          </a:extLst>
        </xdr:cNvPr>
        <xdr:cNvSpPr/>
      </xdr:nvSpPr>
      <xdr:spPr>
        <a:xfrm>
          <a:off x="1087755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</a:rPr>
            <a:t>Resultado</a:t>
          </a:r>
        </a:p>
      </xdr:txBody>
    </xdr:sp>
    <xdr:clientData/>
  </xdr:twoCellAnchor>
  <xdr:twoCellAnchor editAs="oneCell">
    <xdr:from>
      <xdr:col>0</xdr:col>
      <xdr:colOff>142875</xdr:colOff>
      <xdr:row>1</xdr:row>
      <xdr:rowOff>47625</xdr:rowOff>
    </xdr:from>
    <xdr:to>
      <xdr:col>3</xdr:col>
      <xdr:colOff>102904</xdr:colOff>
      <xdr:row>2</xdr:row>
      <xdr:rowOff>171450</xdr:rowOff>
    </xdr:to>
    <xdr:pic>
      <xdr:nvPicPr>
        <xdr:cNvPr id="7" name="Imagem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DBAED10-EF01-4DB1-B2FA-0A8E0268F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238125"/>
          <a:ext cx="1464979" cy="314325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0</xdr:row>
      <xdr:rowOff>142875</xdr:rowOff>
    </xdr:from>
    <xdr:to>
      <xdr:col>11</xdr:col>
      <xdr:colOff>38100</xdr:colOff>
      <xdr:row>3</xdr:row>
      <xdr:rowOff>19050</xdr:rowOff>
    </xdr:to>
    <xdr:sp macro="" textlink="">
      <xdr:nvSpPr>
        <xdr:cNvPr id="2" name="Retângulo: Cantos Arredondados 1">
          <a:hlinkClick xmlns:r="http://schemas.openxmlformats.org/officeDocument/2006/relationships" r:id="rId1" tooltip="Ir para Começo"/>
          <a:extLst>
            <a:ext uri="{FF2B5EF4-FFF2-40B4-BE49-F238E27FC236}">
              <a16:creationId xmlns:a16="http://schemas.microsoft.com/office/drawing/2014/main" id="{17FC159C-FA68-456B-8981-51BE28AA5CD7}"/>
            </a:ext>
          </a:extLst>
        </xdr:cNvPr>
        <xdr:cNvSpPr/>
      </xdr:nvSpPr>
      <xdr:spPr>
        <a:xfrm>
          <a:off x="415290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Começo</a:t>
          </a:r>
        </a:p>
      </xdr:txBody>
    </xdr:sp>
    <xdr:clientData/>
  </xdr:twoCellAnchor>
  <xdr:twoCellAnchor>
    <xdr:from>
      <xdr:col>11</xdr:col>
      <xdr:colOff>95250</xdr:colOff>
      <xdr:row>0</xdr:row>
      <xdr:rowOff>142875</xdr:rowOff>
    </xdr:from>
    <xdr:to>
      <xdr:col>13</xdr:col>
      <xdr:colOff>142875</xdr:colOff>
      <xdr:row>3</xdr:row>
      <xdr:rowOff>19050</xdr:rowOff>
    </xdr:to>
    <xdr:sp macro="" textlink="">
      <xdr:nvSpPr>
        <xdr:cNvPr id="3" name="Retângulo: Cantos Arredondados 2">
          <a:hlinkClick xmlns:r="http://schemas.openxmlformats.org/officeDocument/2006/relationships" r:id="rId2" tooltip="Ir para Conteúdo"/>
          <a:extLst>
            <a:ext uri="{FF2B5EF4-FFF2-40B4-BE49-F238E27FC236}">
              <a16:creationId xmlns:a16="http://schemas.microsoft.com/office/drawing/2014/main" id="{CBEC4CEF-8EFA-44C1-8DFF-DF87B7F2E9CE}"/>
            </a:ext>
          </a:extLst>
        </xdr:cNvPr>
        <xdr:cNvSpPr/>
      </xdr:nvSpPr>
      <xdr:spPr>
        <a:xfrm>
          <a:off x="582930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Conteúdo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13</xdr:col>
      <xdr:colOff>200025</xdr:colOff>
      <xdr:row>0</xdr:row>
      <xdr:rowOff>142875</xdr:rowOff>
    </xdr:from>
    <xdr:to>
      <xdr:col>15</xdr:col>
      <xdr:colOff>600075</xdr:colOff>
      <xdr:row>3</xdr:row>
      <xdr:rowOff>19050</xdr:rowOff>
    </xdr:to>
    <xdr:sp macro="" textlink="">
      <xdr:nvSpPr>
        <xdr:cNvPr id="4" name="Retângulo: Cantos Arredondados 3">
          <a:hlinkClick xmlns:r="http://schemas.openxmlformats.org/officeDocument/2006/relationships" r:id="rId3" tooltip="Você está em Desempenho"/>
          <a:extLst>
            <a:ext uri="{FF2B5EF4-FFF2-40B4-BE49-F238E27FC236}">
              <a16:creationId xmlns:a16="http://schemas.microsoft.com/office/drawing/2014/main" id="{535F5B75-54DD-4223-B17E-41D77EA2E6FB}"/>
            </a:ext>
          </a:extLst>
        </xdr:cNvPr>
        <xdr:cNvSpPr/>
      </xdr:nvSpPr>
      <xdr:spPr>
        <a:xfrm>
          <a:off x="750570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Desempenho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57150</xdr:colOff>
      <xdr:row>0</xdr:row>
      <xdr:rowOff>142875</xdr:rowOff>
    </xdr:from>
    <xdr:to>
      <xdr:col>18</xdr:col>
      <xdr:colOff>457200</xdr:colOff>
      <xdr:row>3</xdr:row>
      <xdr:rowOff>19050</xdr:rowOff>
    </xdr:to>
    <xdr:sp macro="" textlink="">
      <xdr:nvSpPr>
        <xdr:cNvPr id="5" name="Retângulo: Cantos Arredondados 4">
          <a:hlinkClick xmlns:r="http://schemas.openxmlformats.org/officeDocument/2006/relationships" r:id="rId4" tooltip="Ir para Quadro de Horário"/>
          <a:extLst>
            <a:ext uri="{FF2B5EF4-FFF2-40B4-BE49-F238E27FC236}">
              <a16:creationId xmlns:a16="http://schemas.microsoft.com/office/drawing/2014/main" id="{DFF24023-CF0E-483F-872E-CEA00413CAC3}"/>
            </a:ext>
          </a:extLst>
        </xdr:cNvPr>
        <xdr:cNvSpPr/>
      </xdr:nvSpPr>
      <xdr:spPr>
        <a:xfrm>
          <a:off x="9191625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Quadro de Horário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18</xdr:col>
      <xdr:colOff>523875</xdr:colOff>
      <xdr:row>0</xdr:row>
      <xdr:rowOff>142875</xdr:rowOff>
    </xdr:from>
    <xdr:to>
      <xdr:col>21</xdr:col>
      <xdr:colOff>314325</xdr:colOff>
      <xdr:row>3</xdr:row>
      <xdr:rowOff>19050</xdr:rowOff>
    </xdr:to>
    <xdr:sp macro="" textlink="">
      <xdr:nvSpPr>
        <xdr:cNvPr id="6" name="Retângulo: Cantos Arredondados 5">
          <a:hlinkClick xmlns:r="http://schemas.openxmlformats.org/officeDocument/2006/relationships" r:id="rId5" tooltip="Ir para Resultado"/>
          <a:extLst>
            <a:ext uri="{FF2B5EF4-FFF2-40B4-BE49-F238E27FC236}">
              <a16:creationId xmlns:a16="http://schemas.microsoft.com/office/drawing/2014/main" id="{168023C7-3DE7-4B94-9BF2-2FA4D31001E0}"/>
            </a:ext>
          </a:extLst>
        </xdr:cNvPr>
        <xdr:cNvSpPr/>
      </xdr:nvSpPr>
      <xdr:spPr>
        <a:xfrm>
          <a:off x="1087755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</a:rPr>
            <a:t>Resultado</a:t>
          </a:r>
        </a:p>
      </xdr:txBody>
    </xdr:sp>
    <xdr:clientData/>
  </xdr:twoCellAnchor>
  <xdr:twoCellAnchor editAs="oneCell">
    <xdr:from>
      <xdr:col>0</xdr:col>
      <xdr:colOff>114300</xdr:colOff>
      <xdr:row>1</xdr:row>
      <xdr:rowOff>66675</xdr:rowOff>
    </xdr:from>
    <xdr:to>
      <xdr:col>3</xdr:col>
      <xdr:colOff>74329</xdr:colOff>
      <xdr:row>3</xdr:row>
      <xdr:rowOff>0</xdr:rowOff>
    </xdr:to>
    <xdr:pic>
      <xdr:nvPicPr>
        <xdr:cNvPr id="7" name="Imagem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4C9F83A-64DE-4520-AC09-116222425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57175"/>
          <a:ext cx="1464979" cy="314325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0</xdr:row>
      <xdr:rowOff>142875</xdr:rowOff>
    </xdr:from>
    <xdr:to>
      <xdr:col>11</xdr:col>
      <xdr:colOff>38100</xdr:colOff>
      <xdr:row>3</xdr:row>
      <xdr:rowOff>19050</xdr:rowOff>
    </xdr:to>
    <xdr:sp macro="" textlink="">
      <xdr:nvSpPr>
        <xdr:cNvPr id="2" name="Retângulo: Cantos Arredondados 1">
          <a:hlinkClick xmlns:r="http://schemas.openxmlformats.org/officeDocument/2006/relationships" r:id="rId1" tooltip="Ir para Começo"/>
          <a:extLst>
            <a:ext uri="{FF2B5EF4-FFF2-40B4-BE49-F238E27FC236}">
              <a16:creationId xmlns:a16="http://schemas.microsoft.com/office/drawing/2014/main" id="{14360ECF-042F-4425-94F5-3BBFC8AC7CAE}"/>
            </a:ext>
          </a:extLst>
        </xdr:cNvPr>
        <xdr:cNvSpPr/>
      </xdr:nvSpPr>
      <xdr:spPr>
        <a:xfrm>
          <a:off x="415290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Começo</a:t>
          </a:r>
        </a:p>
      </xdr:txBody>
    </xdr:sp>
    <xdr:clientData/>
  </xdr:twoCellAnchor>
  <xdr:twoCellAnchor>
    <xdr:from>
      <xdr:col>11</xdr:col>
      <xdr:colOff>95250</xdr:colOff>
      <xdr:row>0</xdr:row>
      <xdr:rowOff>142875</xdr:rowOff>
    </xdr:from>
    <xdr:to>
      <xdr:col>13</xdr:col>
      <xdr:colOff>142875</xdr:colOff>
      <xdr:row>3</xdr:row>
      <xdr:rowOff>19050</xdr:rowOff>
    </xdr:to>
    <xdr:sp macro="" textlink="">
      <xdr:nvSpPr>
        <xdr:cNvPr id="3" name="Retângulo: Cantos Arredondados 2">
          <a:hlinkClick xmlns:r="http://schemas.openxmlformats.org/officeDocument/2006/relationships" r:id="rId2" tooltip="Ir para Conteúdo"/>
          <a:extLst>
            <a:ext uri="{FF2B5EF4-FFF2-40B4-BE49-F238E27FC236}">
              <a16:creationId xmlns:a16="http://schemas.microsoft.com/office/drawing/2014/main" id="{E3EC4597-36C2-4062-A29F-E604F323D251}"/>
            </a:ext>
          </a:extLst>
        </xdr:cNvPr>
        <xdr:cNvSpPr/>
      </xdr:nvSpPr>
      <xdr:spPr>
        <a:xfrm>
          <a:off x="582930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Conteúdo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13</xdr:col>
      <xdr:colOff>200025</xdr:colOff>
      <xdr:row>0</xdr:row>
      <xdr:rowOff>142875</xdr:rowOff>
    </xdr:from>
    <xdr:to>
      <xdr:col>15</xdr:col>
      <xdr:colOff>600075</xdr:colOff>
      <xdr:row>3</xdr:row>
      <xdr:rowOff>19050</xdr:rowOff>
    </xdr:to>
    <xdr:sp macro="" textlink="">
      <xdr:nvSpPr>
        <xdr:cNvPr id="4" name="Retângulo: Cantos Arredondados 3">
          <a:hlinkClick xmlns:r="http://schemas.openxmlformats.org/officeDocument/2006/relationships" r:id="rId3" tooltip="Você está em Desempenho"/>
          <a:extLst>
            <a:ext uri="{FF2B5EF4-FFF2-40B4-BE49-F238E27FC236}">
              <a16:creationId xmlns:a16="http://schemas.microsoft.com/office/drawing/2014/main" id="{9791557C-7575-40F8-B46F-4978B297DE96}"/>
            </a:ext>
          </a:extLst>
        </xdr:cNvPr>
        <xdr:cNvSpPr/>
      </xdr:nvSpPr>
      <xdr:spPr>
        <a:xfrm>
          <a:off x="750570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Desempenho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57150</xdr:colOff>
      <xdr:row>0</xdr:row>
      <xdr:rowOff>142875</xdr:rowOff>
    </xdr:from>
    <xdr:to>
      <xdr:col>18</xdr:col>
      <xdr:colOff>457200</xdr:colOff>
      <xdr:row>3</xdr:row>
      <xdr:rowOff>19050</xdr:rowOff>
    </xdr:to>
    <xdr:sp macro="" textlink="">
      <xdr:nvSpPr>
        <xdr:cNvPr id="5" name="Retângulo: Cantos Arredondados 4">
          <a:hlinkClick xmlns:r="http://schemas.openxmlformats.org/officeDocument/2006/relationships" r:id="rId4" tooltip="Ir para Quadro de Horário"/>
          <a:extLst>
            <a:ext uri="{FF2B5EF4-FFF2-40B4-BE49-F238E27FC236}">
              <a16:creationId xmlns:a16="http://schemas.microsoft.com/office/drawing/2014/main" id="{D5085877-C697-40EE-8408-191958D8C0FE}"/>
            </a:ext>
          </a:extLst>
        </xdr:cNvPr>
        <xdr:cNvSpPr/>
      </xdr:nvSpPr>
      <xdr:spPr>
        <a:xfrm>
          <a:off x="9191625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Quadro de Horário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18</xdr:col>
      <xdr:colOff>523875</xdr:colOff>
      <xdr:row>0</xdr:row>
      <xdr:rowOff>142875</xdr:rowOff>
    </xdr:from>
    <xdr:to>
      <xdr:col>21</xdr:col>
      <xdr:colOff>314325</xdr:colOff>
      <xdr:row>3</xdr:row>
      <xdr:rowOff>19050</xdr:rowOff>
    </xdr:to>
    <xdr:sp macro="" textlink="">
      <xdr:nvSpPr>
        <xdr:cNvPr id="6" name="Retângulo: Cantos Arredondados 5">
          <a:hlinkClick xmlns:r="http://schemas.openxmlformats.org/officeDocument/2006/relationships" r:id="rId5" tooltip="Ir para Resultado"/>
          <a:extLst>
            <a:ext uri="{FF2B5EF4-FFF2-40B4-BE49-F238E27FC236}">
              <a16:creationId xmlns:a16="http://schemas.microsoft.com/office/drawing/2014/main" id="{09AD9A6B-72D1-4B6B-99A5-C7CF37101C5D}"/>
            </a:ext>
          </a:extLst>
        </xdr:cNvPr>
        <xdr:cNvSpPr/>
      </xdr:nvSpPr>
      <xdr:spPr>
        <a:xfrm>
          <a:off x="1087755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</a:rPr>
            <a:t>Resultado</a:t>
          </a:r>
        </a:p>
      </xdr:txBody>
    </xdr:sp>
    <xdr:clientData/>
  </xdr:twoCellAnchor>
  <xdr:twoCellAnchor editAs="oneCell">
    <xdr:from>
      <xdr:col>0</xdr:col>
      <xdr:colOff>123825</xdr:colOff>
      <xdr:row>1</xdr:row>
      <xdr:rowOff>57150</xdr:rowOff>
    </xdr:from>
    <xdr:to>
      <xdr:col>3</xdr:col>
      <xdr:colOff>83854</xdr:colOff>
      <xdr:row>2</xdr:row>
      <xdr:rowOff>180975</xdr:rowOff>
    </xdr:to>
    <xdr:pic>
      <xdr:nvPicPr>
        <xdr:cNvPr id="7" name="Imagem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979657D-2CAD-4249-ADBC-1A9C0F18A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247650"/>
          <a:ext cx="1464979" cy="314325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0</xdr:row>
      <xdr:rowOff>142875</xdr:rowOff>
    </xdr:from>
    <xdr:to>
      <xdr:col>11</xdr:col>
      <xdr:colOff>38100</xdr:colOff>
      <xdr:row>3</xdr:row>
      <xdr:rowOff>19050</xdr:rowOff>
    </xdr:to>
    <xdr:sp macro="" textlink="">
      <xdr:nvSpPr>
        <xdr:cNvPr id="2" name="Retângulo: Cantos Arredondados 1">
          <a:hlinkClick xmlns:r="http://schemas.openxmlformats.org/officeDocument/2006/relationships" r:id="rId1" tooltip="Ir para Começo"/>
          <a:extLst>
            <a:ext uri="{FF2B5EF4-FFF2-40B4-BE49-F238E27FC236}">
              <a16:creationId xmlns:a16="http://schemas.microsoft.com/office/drawing/2014/main" id="{313F0F86-2E77-4F89-B019-E2AA3F5C514F}"/>
            </a:ext>
          </a:extLst>
        </xdr:cNvPr>
        <xdr:cNvSpPr/>
      </xdr:nvSpPr>
      <xdr:spPr>
        <a:xfrm>
          <a:off x="415290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Começo</a:t>
          </a:r>
        </a:p>
      </xdr:txBody>
    </xdr:sp>
    <xdr:clientData/>
  </xdr:twoCellAnchor>
  <xdr:twoCellAnchor>
    <xdr:from>
      <xdr:col>11</xdr:col>
      <xdr:colOff>95250</xdr:colOff>
      <xdr:row>0</xdr:row>
      <xdr:rowOff>142875</xdr:rowOff>
    </xdr:from>
    <xdr:to>
      <xdr:col>13</xdr:col>
      <xdr:colOff>142875</xdr:colOff>
      <xdr:row>3</xdr:row>
      <xdr:rowOff>19050</xdr:rowOff>
    </xdr:to>
    <xdr:sp macro="" textlink="">
      <xdr:nvSpPr>
        <xdr:cNvPr id="3" name="Retângulo: Cantos Arredondados 2">
          <a:hlinkClick xmlns:r="http://schemas.openxmlformats.org/officeDocument/2006/relationships" r:id="rId2" tooltip="Ir para Conteúdo"/>
          <a:extLst>
            <a:ext uri="{FF2B5EF4-FFF2-40B4-BE49-F238E27FC236}">
              <a16:creationId xmlns:a16="http://schemas.microsoft.com/office/drawing/2014/main" id="{BFD0C6CA-239E-4312-8D03-42FB6759FAD9}"/>
            </a:ext>
          </a:extLst>
        </xdr:cNvPr>
        <xdr:cNvSpPr/>
      </xdr:nvSpPr>
      <xdr:spPr>
        <a:xfrm>
          <a:off x="582930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Conteúdo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13</xdr:col>
      <xdr:colOff>200025</xdr:colOff>
      <xdr:row>0</xdr:row>
      <xdr:rowOff>142875</xdr:rowOff>
    </xdr:from>
    <xdr:to>
      <xdr:col>15</xdr:col>
      <xdr:colOff>600075</xdr:colOff>
      <xdr:row>3</xdr:row>
      <xdr:rowOff>19050</xdr:rowOff>
    </xdr:to>
    <xdr:sp macro="" textlink="">
      <xdr:nvSpPr>
        <xdr:cNvPr id="4" name="Retângulo: Cantos Arredondados 3">
          <a:hlinkClick xmlns:r="http://schemas.openxmlformats.org/officeDocument/2006/relationships" r:id="rId3" tooltip="Você está em Desempenho"/>
          <a:extLst>
            <a:ext uri="{FF2B5EF4-FFF2-40B4-BE49-F238E27FC236}">
              <a16:creationId xmlns:a16="http://schemas.microsoft.com/office/drawing/2014/main" id="{A0E0DD0A-9BF4-4809-B965-EE1B83069FA9}"/>
            </a:ext>
          </a:extLst>
        </xdr:cNvPr>
        <xdr:cNvSpPr/>
      </xdr:nvSpPr>
      <xdr:spPr>
        <a:xfrm>
          <a:off x="750570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Desempenho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57150</xdr:colOff>
      <xdr:row>0</xdr:row>
      <xdr:rowOff>142875</xdr:rowOff>
    </xdr:from>
    <xdr:to>
      <xdr:col>18</xdr:col>
      <xdr:colOff>457200</xdr:colOff>
      <xdr:row>3</xdr:row>
      <xdr:rowOff>19050</xdr:rowOff>
    </xdr:to>
    <xdr:sp macro="" textlink="">
      <xdr:nvSpPr>
        <xdr:cNvPr id="5" name="Retângulo: Cantos Arredondados 4">
          <a:hlinkClick xmlns:r="http://schemas.openxmlformats.org/officeDocument/2006/relationships" r:id="rId4" tooltip="Ir para Quadro de Horário"/>
          <a:extLst>
            <a:ext uri="{FF2B5EF4-FFF2-40B4-BE49-F238E27FC236}">
              <a16:creationId xmlns:a16="http://schemas.microsoft.com/office/drawing/2014/main" id="{261627FB-96C9-4AD0-9927-9C64218B4C31}"/>
            </a:ext>
          </a:extLst>
        </xdr:cNvPr>
        <xdr:cNvSpPr/>
      </xdr:nvSpPr>
      <xdr:spPr>
        <a:xfrm>
          <a:off x="9191625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Quadro de Horário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18</xdr:col>
      <xdr:colOff>523875</xdr:colOff>
      <xdr:row>0</xdr:row>
      <xdr:rowOff>142875</xdr:rowOff>
    </xdr:from>
    <xdr:to>
      <xdr:col>21</xdr:col>
      <xdr:colOff>314325</xdr:colOff>
      <xdr:row>3</xdr:row>
      <xdr:rowOff>19050</xdr:rowOff>
    </xdr:to>
    <xdr:sp macro="" textlink="">
      <xdr:nvSpPr>
        <xdr:cNvPr id="6" name="Retângulo: Cantos Arredondados 5">
          <a:hlinkClick xmlns:r="http://schemas.openxmlformats.org/officeDocument/2006/relationships" r:id="rId5" tooltip="Ir para Resultado"/>
          <a:extLst>
            <a:ext uri="{FF2B5EF4-FFF2-40B4-BE49-F238E27FC236}">
              <a16:creationId xmlns:a16="http://schemas.microsoft.com/office/drawing/2014/main" id="{256AABB8-745C-4966-9A77-045379183606}"/>
            </a:ext>
          </a:extLst>
        </xdr:cNvPr>
        <xdr:cNvSpPr/>
      </xdr:nvSpPr>
      <xdr:spPr>
        <a:xfrm>
          <a:off x="1087755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</a:rPr>
            <a:t>Resultado</a:t>
          </a:r>
        </a:p>
      </xdr:txBody>
    </xdr:sp>
    <xdr:clientData/>
  </xdr:twoCellAnchor>
  <xdr:twoCellAnchor editAs="oneCell">
    <xdr:from>
      <xdr:col>0</xdr:col>
      <xdr:colOff>142875</xdr:colOff>
      <xdr:row>1</xdr:row>
      <xdr:rowOff>38100</xdr:rowOff>
    </xdr:from>
    <xdr:to>
      <xdr:col>3</xdr:col>
      <xdr:colOff>102904</xdr:colOff>
      <xdr:row>2</xdr:row>
      <xdr:rowOff>161925</xdr:rowOff>
    </xdr:to>
    <xdr:pic>
      <xdr:nvPicPr>
        <xdr:cNvPr id="7" name="Imagem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18818EB-2D38-4290-A357-01E4089A37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228600"/>
          <a:ext cx="1464979" cy="314325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0</xdr:row>
      <xdr:rowOff>142875</xdr:rowOff>
    </xdr:from>
    <xdr:to>
      <xdr:col>11</xdr:col>
      <xdr:colOff>38100</xdr:colOff>
      <xdr:row>3</xdr:row>
      <xdr:rowOff>19050</xdr:rowOff>
    </xdr:to>
    <xdr:sp macro="" textlink="">
      <xdr:nvSpPr>
        <xdr:cNvPr id="2" name="Retângulo: Cantos Arredondados 1">
          <a:hlinkClick xmlns:r="http://schemas.openxmlformats.org/officeDocument/2006/relationships" r:id="rId1" tooltip="Ir para Começo"/>
          <a:extLst>
            <a:ext uri="{FF2B5EF4-FFF2-40B4-BE49-F238E27FC236}">
              <a16:creationId xmlns:a16="http://schemas.microsoft.com/office/drawing/2014/main" id="{DAE7A8E5-0114-4B54-8982-9EDA5BFA164B}"/>
            </a:ext>
          </a:extLst>
        </xdr:cNvPr>
        <xdr:cNvSpPr/>
      </xdr:nvSpPr>
      <xdr:spPr>
        <a:xfrm>
          <a:off x="415290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Começo</a:t>
          </a:r>
        </a:p>
      </xdr:txBody>
    </xdr:sp>
    <xdr:clientData/>
  </xdr:twoCellAnchor>
  <xdr:twoCellAnchor>
    <xdr:from>
      <xdr:col>11</xdr:col>
      <xdr:colOff>95250</xdr:colOff>
      <xdr:row>0</xdr:row>
      <xdr:rowOff>142875</xdr:rowOff>
    </xdr:from>
    <xdr:to>
      <xdr:col>13</xdr:col>
      <xdr:colOff>142875</xdr:colOff>
      <xdr:row>3</xdr:row>
      <xdr:rowOff>19050</xdr:rowOff>
    </xdr:to>
    <xdr:sp macro="" textlink="">
      <xdr:nvSpPr>
        <xdr:cNvPr id="3" name="Retângulo: Cantos Arredondados 2">
          <a:hlinkClick xmlns:r="http://schemas.openxmlformats.org/officeDocument/2006/relationships" r:id="rId2" tooltip="Ir para Conteúdo"/>
          <a:extLst>
            <a:ext uri="{FF2B5EF4-FFF2-40B4-BE49-F238E27FC236}">
              <a16:creationId xmlns:a16="http://schemas.microsoft.com/office/drawing/2014/main" id="{811AA97B-B160-45D2-B731-C3C173645670}"/>
            </a:ext>
          </a:extLst>
        </xdr:cNvPr>
        <xdr:cNvSpPr/>
      </xdr:nvSpPr>
      <xdr:spPr>
        <a:xfrm>
          <a:off x="582930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Conteúdo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13</xdr:col>
      <xdr:colOff>200025</xdr:colOff>
      <xdr:row>0</xdr:row>
      <xdr:rowOff>142875</xdr:rowOff>
    </xdr:from>
    <xdr:to>
      <xdr:col>15</xdr:col>
      <xdr:colOff>600075</xdr:colOff>
      <xdr:row>3</xdr:row>
      <xdr:rowOff>19050</xdr:rowOff>
    </xdr:to>
    <xdr:sp macro="" textlink="">
      <xdr:nvSpPr>
        <xdr:cNvPr id="4" name="Retângulo: Cantos Arredondados 3">
          <a:hlinkClick xmlns:r="http://schemas.openxmlformats.org/officeDocument/2006/relationships" r:id="rId3" tooltip="Você está em Desempenho"/>
          <a:extLst>
            <a:ext uri="{FF2B5EF4-FFF2-40B4-BE49-F238E27FC236}">
              <a16:creationId xmlns:a16="http://schemas.microsoft.com/office/drawing/2014/main" id="{C3468267-224B-4837-B93B-ECC648455937}"/>
            </a:ext>
          </a:extLst>
        </xdr:cNvPr>
        <xdr:cNvSpPr/>
      </xdr:nvSpPr>
      <xdr:spPr>
        <a:xfrm>
          <a:off x="750570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Desempenho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57150</xdr:colOff>
      <xdr:row>0</xdr:row>
      <xdr:rowOff>142875</xdr:rowOff>
    </xdr:from>
    <xdr:to>
      <xdr:col>18</xdr:col>
      <xdr:colOff>457200</xdr:colOff>
      <xdr:row>3</xdr:row>
      <xdr:rowOff>19050</xdr:rowOff>
    </xdr:to>
    <xdr:sp macro="" textlink="">
      <xdr:nvSpPr>
        <xdr:cNvPr id="5" name="Retângulo: Cantos Arredondados 4">
          <a:hlinkClick xmlns:r="http://schemas.openxmlformats.org/officeDocument/2006/relationships" r:id="rId4" tooltip="Ir para Quadro de Horário"/>
          <a:extLst>
            <a:ext uri="{FF2B5EF4-FFF2-40B4-BE49-F238E27FC236}">
              <a16:creationId xmlns:a16="http://schemas.microsoft.com/office/drawing/2014/main" id="{5754A224-59D5-4ADC-9273-95930DD4A5FD}"/>
            </a:ext>
          </a:extLst>
        </xdr:cNvPr>
        <xdr:cNvSpPr/>
      </xdr:nvSpPr>
      <xdr:spPr>
        <a:xfrm>
          <a:off x="9191625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Quadro de Horário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18</xdr:col>
      <xdr:colOff>523875</xdr:colOff>
      <xdr:row>0</xdr:row>
      <xdr:rowOff>142875</xdr:rowOff>
    </xdr:from>
    <xdr:to>
      <xdr:col>21</xdr:col>
      <xdr:colOff>314325</xdr:colOff>
      <xdr:row>3</xdr:row>
      <xdr:rowOff>19050</xdr:rowOff>
    </xdr:to>
    <xdr:sp macro="" textlink="">
      <xdr:nvSpPr>
        <xdr:cNvPr id="6" name="Retângulo: Cantos Arredondados 5">
          <a:hlinkClick xmlns:r="http://schemas.openxmlformats.org/officeDocument/2006/relationships" r:id="rId5" tooltip="Ir para Resultado"/>
          <a:extLst>
            <a:ext uri="{FF2B5EF4-FFF2-40B4-BE49-F238E27FC236}">
              <a16:creationId xmlns:a16="http://schemas.microsoft.com/office/drawing/2014/main" id="{0ADB133B-79E6-486D-B8FF-D03F0CC93E65}"/>
            </a:ext>
          </a:extLst>
        </xdr:cNvPr>
        <xdr:cNvSpPr/>
      </xdr:nvSpPr>
      <xdr:spPr>
        <a:xfrm>
          <a:off x="1087755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</a:rPr>
            <a:t>Resultado</a:t>
          </a:r>
        </a:p>
      </xdr:txBody>
    </xdr:sp>
    <xdr:clientData/>
  </xdr:twoCellAnchor>
  <xdr:twoCellAnchor editAs="oneCell">
    <xdr:from>
      <xdr:col>0</xdr:col>
      <xdr:colOff>161925</xdr:colOff>
      <xdr:row>1</xdr:row>
      <xdr:rowOff>57150</xdr:rowOff>
    </xdr:from>
    <xdr:to>
      <xdr:col>3</xdr:col>
      <xdr:colOff>121954</xdr:colOff>
      <xdr:row>2</xdr:row>
      <xdr:rowOff>180975</xdr:rowOff>
    </xdr:to>
    <xdr:pic>
      <xdr:nvPicPr>
        <xdr:cNvPr id="7" name="Imagem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AD7812E-AA6E-4033-A17F-07EF13EBA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247650"/>
          <a:ext cx="1464979" cy="314325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0</xdr:row>
      <xdr:rowOff>142875</xdr:rowOff>
    </xdr:from>
    <xdr:to>
      <xdr:col>11</xdr:col>
      <xdr:colOff>38100</xdr:colOff>
      <xdr:row>3</xdr:row>
      <xdr:rowOff>19050</xdr:rowOff>
    </xdr:to>
    <xdr:sp macro="" textlink="">
      <xdr:nvSpPr>
        <xdr:cNvPr id="2" name="Retângulo: Cantos Arredondados 1">
          <a:hlinkClick xmlns:r="http://schemas.openxmlformats.org/officeDocument/2006/relationships" r:id="rId1" tooltip="Ir para Começo"/>
          <a:extLst>
            <a:ext uri="{FF2B5EF4-FFF2-40B4-BE49-F238E27FC236}">
              <a16:creationId xmlns:a16="http://schemas.microsoft.com/office/drawing/2014/main" id="{EB748A7A-BA3E-49BD-B8B2-8CA91F1C14DE}"/>
            </a:ext>
          </a:extLst>
        </xdr:cNvPr>
        <xdr:cNvSpPr/>
      </xdr:nvSpPr>
      <xdr:spPr>
        <a:xfrm>
          <a:off x="415290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Começo</a:t>
          </a:r>
        </a:p>
      </xdr:txBody>
    </xdr:sp>
    <xdr:clientData/>
  </xdr:twoCellAnchor>
  <xdr:twoCellAnchor>
    <xdr:from>
      <xdr:col>11</xdr:col>
      <xdr:colOff>95250</xdr:colOff>
      <xdr:row>0</xdr:row>
      <xdr:rowOff>142875</xdr:rowOff>
    </xdr:from>
    <xdr:to>
      <xdr:col>13</xdr:col>
      <xdr:colOff>142875</xdr:colOff>
      <xdr:row>3</xdr:row>
      <xdr:rowOff>19050</xdr:rowOff>
    </xdr:to>
    <xdr:sp macro="" textlink="">
      <xdr:nvSpPr>
        <xdr:cNvPr id="3" name="Retângulo: Cantos Arredondados 2">
          <a:hlinkClick xmlns:r="http://schemas.openxmlformats.org/officeDocument/2006/relationships" r:id="rId2" tooltip="Ir para Conteúdo"/>
          <a:extLst>
            <a:ext uri="{FF2B5EF4-FFF2-40B4-BE49-F238E27FC236}">
              <a16:creationId xmlns:a16="http://schemas.microsoft.com/office/drawing/2014/main" id="{064C2987-51FD-4BB4-A5F4-463C06960A0F}"/>
            </a:ext>
          </a:extLst>
        </xdr:cNvPr>
        <xdr:cNvSpPr/>
      </xdr:nvSpPr>
      <xdr:spPr>
        <a:xfrm>
          <a:off x="582930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Conteúdo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13</xdr:col>
      <xdr:colOff>200025</xdr:colOff>
      <xdr:row>0</xdr:row>
      <xdr:rowOff>142875</xdr:rowOff>
    </xdr:from>
    <xdr:to>
      <xdr:col>15</xdr:col>
      <xdr:colOff>600075</xdr:colOff>
      <xdr:row>3</xdr:row>
      <xdr:rowOff>19050</xdr:rowOff>
    </xdr:to>
    <xdr:sp macro="" textlink="">
      <xdr:nvSpPr>
        <xdr:cNvPr id="4" name="Retângulo: Cantos Arredondados 3">
          <a:hlinkClick xmlns:r="http://schemas.openxmlformats.org/officeDocument/2006/relationships" r:id="rId3" tooltip="Você está em Desempenho"/>
          <a:extLst>
            <a:ext uri="{FF2B5EF4-FFF2-40B4-BE49-F238E27FC236}">
              <a16:creationId xmlns:a16="http://schemas.microsoft.com/office/drawing/2014/main" id="{152EC7F8-9FF5-46E3-A730-0C1F454F645D}"/>
            </a:ext>
          </a:extLst>
        </xdr:cNvPr>
        <xdr:cNvSpPr/>
      </xdr:nvSpPr>
      <xdr:spPr>
        <a:xfrm>
          <a:off x="750570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Desempenho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57150</xdr:colOff>
      <xdr:row>0</xdr:row>
      <xdr:rowOff>142875</xdr:rowOff>
    </xdr:from>
    <xdr:to>
      <xdr:col>18</xdr:col>
      <xdr:colOff>457200</xdr:colOff>
      <xdr:row>3</xdr:row>
      <xdr:rowOff>19050</xdr:rowOff>
    </xdr:to>
    <xdr:sp macro="" textlink="">
      <xdr:nvSpPr>
        <xdr:cNvPr id="5" name="Retângulo: Cantos Arredondados 4">
          <a:hlinkClick xmlns:r="http://schemas.openxmlformats.org/officeDocument/2006/relationships" r:id="rId4" tooltip="Ir para Quadro de Horário"/>
          <a:extLst>
            <a:ext uri="{FF2B5EF4-FFF2-40B4-BE49-F238E27FC236}">
              <a16:creationId xmlns:a16="http://schemas.microsoft.com/office/drawing/2014/main" id="{33417C47-C763-4276-8FC3-5464AEF99B80}"/>
            </a:ext>
          </a:extLst>
        </xdr:cNvPr>
        <xdr:cNvSpPr/>
      </xdr:nvSpPr>
      <xdr:spPr>
        <a:xfrm>
          <a:off x="9191625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Quadro de Horário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18</xdr:col>
      <xdr:colOff>523875</xdr:colOff>
      <xdr:row>0</xdr:row>
      <xdr:rowOff>142875</xdr:rowOff>
    </xdr:from>
    <xdr:to>
      <xdr:col>21</xdr:col>
      <xdr:colOff>314325</xdr:colOff>
      <xdr:row>3</xdr:row>
      <xdr:rowOff>19050</xdr:rowOff>
    </xdr:to>
    <xdr:sp macro="" textlink="">
      <xdr:nvSpPr>
        <xdr:cNvPr id="6" name="Retângulo: Cantos Arredondados 5">
          <a:hlinkClick xmlns:r="http://schemas.openxmlformats.org/officeDocument/2006/relationships" r:id="rId5" tooltip="Ir para Resultado"/>
          <a:extLst>
            <a:ext uri="{FF2B5EF4-FFF2-40B4-BE49-F238E27FC236}">
              <a16:creationId xmlns:a16="http://schemas.microsoft.com/office/drawing/2014/main" id="{2C09576A-F504-402C-B344-02FF5A1B873B}"/>
            </a:ext>
          </a:extLst>
        </xdr:cNvPr>
        <xdr:cNvSpPr/>
      </xdr:nvSpPr>
      <xdr:spPr>
        <a:xfrm>
          <a:off x="1087755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</a:rPr>
            <a:t>Resultado</a:t>
          </a:r>
        </a:p>
      </xdr:txBody>
    </xdr:sp>
    <xdr:clientData/>
  </xdr:twoCellAnchor>
  <xdr:twoCellAnchor editAs="oneCell">
    <xdr:from>
      <xdr:col>0</xdr:col>
      <xdr:colOff>142875</xdr:colOff>
      <xdr:row>1</xdr:row>
      <xdr:rowOff>57150</xdr:rowOff>
    </xdr:from>
    <xdr:to>
      <xdr:col>3</xdr:col>
      <xdr:colOff>102904</xdr:colOff>
      <xdr:row>2</xdr:row>
      <xdr:rowOff>180975</xdr:rowOff>
    </xdr:to>
    <xdr:pic>
      <xdr:nvPicPr>
        <xdr:cNvPr id="7" name="Imagem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A34BB5E-9788-4933-8322-632EF2FF3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247650"/>
          <a:ext cx="1464979" cy="31432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0</xdr:row>
      <xdr:rowOff>142875</xdr:rowOff>
    </xdr:from>
    <xdr:to>
      <xdr:col>11</xdr:col>
      <xdr:colOff>38100</xdr:colOff>
      <xdr:row>3</xdr:row>
      <xdr:rowOff>19050</xdr:rowOff>
    </xdr:to>
    <xdr:sp macro="" textlink="">
      <xdr:nvSpPr>
        <xdr:cNvPr id="2" name="Retângulo: Cantos Arredondados 1">
          <a:hlinkClick xmlns:r="http://schemas.openxmlformats.org/officeDocument/2006/relationships" r:id="rId1" tooltip="Ir para Começo"/>
          <a:extLst>
            <a:ext uri="{FF2B5EF4-FFF2-40B4-BE49-F238E27FC236}">
              <a16:creationId xmlns:a16="http://schemas.microsoft.com/office/drawing/2014/main" id="{E9600F61-801E-4C16-8F57-093D60A91854}"/>
            </a:ext>
          </a:extLst>
        </xdr:cNvPr>
        <xdr:cNvSpPr/>
      </xdr:nvSpPr>
      <xdr:spPr>
        <a:xfrm>
          <a:off x="415290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Começo</a:t>
          </a:r>
        </a:p>
      </xdr:txBody>
    </xdr:sp>
    <xdr:clientData/>
  </xdr:twoCellAnchor>
  <xdr:twoCellAnchor>
    <xdr:from>
      <xdr:col>11</xdr:col>
      <xdr:colOff>95250</xdr:colOff>
      <xdr:row>0</xdr:row>
      <xdr:rowOff>142875</xdr:rowOff>
    </xdr:from>
    <xdr:to>
      <xdr:col>13</xdr:col>
      <xdr:colOff>142875</xdr:colOff>
      <xdr:row>3</xdr:row>
      <xdr:rowOff>19050</xdr:rowOff>
    </xdr:to>
    <xdr:sp macro="" textlink="">
      <xdr:nvSpPr>
        <xdr:cNvPr id="3" name="Retângulo: Cantos Arredondados 2">
          <a:hlinkClick xmlns:r="http://schemas.openxmlformats.org/officeDocument/2006/relationships" r:id="rId2" tooltip="Ir para Conteúdo"/>
          <a:extLst>
            <a:ext uri="{FF2B5EF4-FFF2-40B4-BE49-F238E27FC236}">
              <a16:creationId xmlns:a16="http://schemas.microsoft.com/office/drawing/2014/main" id="{BE56CB26-2555-47D6-9968-E32A9246AF97}"/>
            </a:ext>
          </a:extLst>
        </xdr:cNvPr>
        <xdr:cNvSpPr/>
      </xdr:nvSpPr>
      <xdr:spPr>
        <a:xfrm>
          <a:off x="582930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Conteúdo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13</xdr:col>
      <xdr:colOff>200025</xdr:colOff>
      <xdr:row>0</xdr:row>
      <xdr:rowOff>142875</xdr:rowOff>
    </xdr:from>
    <xdr:to>
      <xdr:col>15</xdr:col>
      <xdr:colOff>600075</xdr:colOff>
      <xdr:row>3</xdr:row>
      <xdr:rowOff>19050</xdr:rowOff>
    </xdr:to>
    <xdr:sp macro="" textlink="">
      <xdr:nvSpPr>
        <xdr:cNvPr id="4" name="Retângulo: Cantos Arredondados 3">
          <a:hlinkClick xmlns:r="http://schemas.openxmlformats.org/officeDocument/2006/relationships" r:id="rId3" tooltip="Você está em Desempenho"/>
          <a:extLst>
            <a:ext uri="{FF2B5EF4-FFF2-40B4-BE49-F238E27FC236}">
              <a16:creationId xmlns:a16="http://schemas.microsoft.com/office/drawing/2014/main" id="{E8230827-5719-4140-BA2E-A85C1C35D5E6}"/>
            </a:ext>
          </a:extLst>
        </xdr:cNvPr>
        <xdr:cNvSpPr/>
      </xdr:nvSpPr>
      <xdr:spPr>
        <a:xfrm>
          <a:off x="750570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Desempenho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57150</xdr:colOff>
      <xdr:row>0</xdr:row>
      <xdr:rowOff>142875</xdr:rowOff>
    </xdr:from>
    <xdr:to>
      <xdr:col>18</xdr:col>
      <xdr:colOff>457200</xdr:colOff>
      <xdr:row>3</xdr:row>
      <xdr:rowOff>19050</xdr:rowOff>
    </xdr:to>
    <xdr:sp macro="" textlink="">
      <xdr:nvSpPr>
        <xdr:cNvPr id="5" name="Retângulo: Cantos Arredondados 4">
          <a:hlinkClick xmlns:r="http://schemas.openxmlformats.org/officeDocument/2006/relationships" r:id="rId4" tooltip="Ir para Quadro de Horário"/>
          <a:extLst>
            <a:ext uri="{FF2B5EF4-FFF2-40B4-BE49-F238E27FC236}">
              <a16:creationId xmlns:a16="http://schemas.microsoft.com/office/drawing/2014/main" id="{F6D85E36-E634-4087-AEF5-ED755911F85B}"/>
            </a:ext>
          </a:extLst>
        </xdr:cNvPr>
        <xdr:cNvSpPr/>
      </xdr:nvSpPr>
      <xdr:spPr>
        <a:xfrm>
          <a:off x="9191625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Quadro de Horário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18</xdr:col>
      <xdr:colOff>523875</xdr:colOff>
      <xdr:row>0</xdr:row>
      <xdr:rowOff>142875</xdr:rowOff>
    </xdr:from>
    <xdr:to>
      <xdr:col>21</xdr:col>
      <xdr:colOff>314325</xdr:colOff>
      <xdr:row>3</xdr:row>
      <xdr:rowOff>19050</xdr:rowOff>
    </xdr:to>
    <xdr:sp macro="" textlink="">
      <xdr:nvSpPr>
        <xdr:cNvPr id="6" name="Retângulo: Cantos Arredondados 5">
          <a:hlinkClick xmlns:r="http://schemas.openxmlformats.org/officeDocument/2006/relationships" r:id="rId5" tooltip="Ir para Resultado"/>
          <a:extLst>
            <a:ext uri="{FF2B5EF4-FFF2-40B4-BE49-F238E27FC236}">
              <a16:creationId xmlns:a16="http://schemas.microsoft.com/office/drawing/2014/main" id="{D9EBD2DA-2BD3-413F-A5F8-E4D4A825764B}"/>
            </a:ext>
          </a:extLst>
        </xdr:cNvPr>
        <xdr:cNvSpPr/>
      </xdr:nvSpPr>
      <xdr:spPr>
        <a:xfrm>
          <a:off x="1087755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</a:rPr>
            <a:t>Resultado</a:t>
          </a:r>
        </a:p>
      </xdr:txBody>
    </xdr:sp>
    <xdr:clientData/>
  </xdr:twoCellAnchor>
  <xdr:twoCellAnchor editAs="oneCell">
    <xdr:from>
      <xdr:col>0</xdr:col>
      <xdr:colOff>142875</xdr:colOff>
      <xdr:row>1</xdr:row>
      <xdr:rowOff>47625</xdr:rowOff>
    </xdr:from>
    <xdr:to>
      <xdr:col>3</xdr:col>
      <xdr:colOff>102904</xdr:colOff>
      <xdr:row>2</xdr:row>
      <xdr:rowOff>171450</xdr:rowOff>
    </xdr:to>
    <xdr:pic>
      <xdr:nvPicPr>
        <xdr:cNvPr id="7" name="Imagem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3ADB19D-F1D2-4043-BE34-21EDB6836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238125"/>
          <a:ext cx="1464979" cy="314325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0</xdr:row>
      <xdr:rowOff>142875</xdr:rowOff>
    </xdr:from>
    <xdr:to>
      <xdr:col>11</xdr:col>
      <xdr:colOff>38100</xdr:colOff>
      <xdr:row>3</xdr:row>
      <xdr:rowOff>19050</xdr:rowOff>
    </xdr:to>
    <xdr:sp macro="" textlink="">
      <xdr:nvSpPr>
        <xdr:cNvPr id="2" name="Retângulo: Cantos Arredondados 1">
          <a:hlinkClick xmlns:r="http://schemas.openxmlformats.org/officeDocument/2006/relationships" r:id="rId1" tooltip="Ir para Começo"/>
          <a:extLst>
            <a:ext uri="{FF2B5EF4-FFF2-40B4-BE49-F238E27FC236}">
              <a16:creationId xmlns:a16="http://schemas.microsoft.com/office/drawing/2014/main" id="{614BC7D7-37C9-42E6-8851-A6A1043CF854}"/>
            </a:ext>
          </a:extLst>
        </xdr:cNvPr>
        <xdr:cNvSpPr/>
      </xdr:nvSpPr>
      <xdr:spPr>
        <a:xfrm>
          <a:off x="415290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Começo</a:t>
          </a:r>
        </a:p>
      </xdr:txBody>
    </xdr:sp>
    <xdr:clientData/>
  </xdr:twoCellAnchor>
  <xdr:twoCellAnchor>
    <xdr:from>
      <xdr:col>11</xdr:col>
      <xdr:colOff>95250</xdr:colOff>
      <xdr:row>0</xdr:row>
      <xdr:rowOff>142875</xdr:rowOff>
    </xdr:from>
    <xdr:to>
      <xdr:col>13</xdr:col>
      <xdr:colOff>142875</xdr:colOff>
      <xdr:row>3</xdr:row>
      <xdr:rowOff>19050</xdr:rowOff>
    </xdr:to>
    <xdr:sp macro="" textlink="">
      <xdr:nvSpPr>
        <xdr:cNvPr id="3" name="Retângulo: Cantos Arredondados 2">
          <a:hlinkClick xmlns:r="http://schemas.openxmlformats.org/officeDocument/2006/relationships" r:id="rId2" tooltip="Ir para Conteúdo"/>
          <a:extLst>
            <a:ext uri="{FF2B5EF4-FFF2-40B4-BE49-F238E27FC236}">
              <a16:creationId xmlns:a16="http://schemas.microsoft.com/office/drawing/2014/main" id="{1773C00C-C33F-4A1E-817D-2A895E639126}"/>
            </a:ext>
          </a:extLst>
        </xdr:cNvPr>
        <xdr:cNvSpPr/>
      </xdr:nvSpPr>
      <xdr:spPr>
        <a:xfrm>
          <a:off x="582930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Conteúdo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13</xdr:col>
      <xdr:colOff>200025</xdr:colOff>
      <xdr:row>0</xdr:row>
      <xdr:rowOff>142875</xdr:rowOff>
    </xdr:from>
    <xdr:to>
      <xdr:col>15</xdr:col>
      <xdr:colOff>600075</xdr:colOff>
      <xdr:row>3</xdr:row>
      <xdr:rowOff>19050</xdr:rowOff>
    </xdr:to>
    <xdr:sp macro="" textlink="">
      <xdr:nvSpPr>
        <xdr:cNvPr id="4" name="Retângulo: Cantos Arredondados 3">
          <a:hlinkClick xmlns:r="http://schemas.openxmlformats.org/officeDocument/2006/relationships" r:id="rId3" tooltip="Você está em Desempenho"/>
          <a:extLst>
            <a:ext uri="{FF2B5EF4-FFF2-40B4-BE49-F238E27FC236}">
              <a16:creationId xmlns:a16="http://schemas.microsoft.com/office/drawing/2014/main" id="{0BE1D152-6543-4665-895F-E67184E8CA26}"/>
            </a:ext>
          </a:extLst>
        </xdr:cNvPr>
        <xdr:cNvSpPr/>
      </xdr:nvSpPr>
      <xdr:spPr>
        <a:xfrm>
          <a:off x="750570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Desempenho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57150</xdr:colOff>
      <xdr:row>0</xdr:row>
      <xdr:rowOff>142875</xdr:rowOff>
    </xdr:from>
    <xdr:to>
      <xdr:col>18</xdr:col>
      <xdr:colOff>457200</xdr:colOff>
      <xdr:row>3</xdr:row>
      <xdr:rowOff>19050</xdr:rowOff>
    </xdr:to>
    <xdr:sp macro="" textlink="">
      <xdr:nvSpPr>
        <xdr:cNvPr id="5" name="Retângulo: Cantos Arredondados 4">
          <a:hlinkClick xmlns:r="http://schemas.openxmlformats.org/officeDocument/2006/relationships" r:id="rId4" tooltip="Ir para Quadro de Horário"/>
          <a:extLst>
            <a:ext uri="{FF2B5EF4-FFF2-40B4-BE49-F238E27FC236}">
              <a16:creationId xmlns:a16="http://schemas.microsoft.com/office/drawing/2014/main" id="{BA8FFBFB-E49B-4187-AC9A-9B2AD110EB80}"/>
            </a:ext>
          </a:extLst>
        </xdr:cNvPr>
        <xdr:cNvSpPr/>
      </xdr:nvSpPr>
      <xdr:spPr>
        <a:xfrm>
          <a:off x="9191625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Quadro de Horário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18</xdr:col>
      <xdr:colOff>523875</xdr:colOff>
      <xdr:row>0</xdr:row>
      <xdr:rowOff>142875</xdr:rowOff>
    </xdr:from>
    <xdr:to>
      <xdr:col>21</xdr:col>
      <xdr:colOff>314325</xdr:colOff>
      <xdr:row>3</xdr:row>
      <xdr:rowOff>19050</xdr:rowOff>
    </xdr:to>
    <xdr:sp macro="" textlink="">
      <xdr:nvSpPr>
        <xdr:cNvPr id="6" name="Retângulo: Cantos Arredondados 5">
          <a:hlinkClick xmlns:r="http://schemas.openxmlformats.org/officeDocument/2006/relationships" r:id="rId5" tooltip="Ir para Resultado"/>
          <a:extLst>
            <a:ext uri="{FF2B5EF4-FFF2-40B4-BE49-F238E27FC236}">
              <a16:creationId xmlns:a16="http://schemas.microsoft.com/office/drawing/2014/main" id="{38C88F4E-1C88-4142-89DD-673F0A5E4060}"/>
            </a:ext>
          </a:extLst>
        </xdr:cNvPr>
        <xdr:cNvSpPr/>
      </xdr:nvSpPr>
      <xdr:spPr>
        <a:xfrm>
          <a:off x="1087755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</a:rPr>
            <a:t>Resultado</a:t>
          </a:r>
        </a:p>
      </xdr:txBody>
    </xdr:sp>
    <xdr:clientData/>
  </xdr:twoCellAnchor>
  <xdr:twoCellAnchor editAs="oneCell">
    <xdr:from>
      <xdr:col>0</xdr:col>
      <xdr:colOff>85725</xdr:colOff>
      <xdr:row>1</xdr:row>
      <xdr:rowOff>57150</xdr:rowOff>
    </xdr:from>
    <xdr:to>
      <xdr:col>3</xdr:col>
      <xdr:colOff>45754</xdr:colOff>
      <xdr:row>2</xdr:row>
      <xdr:rowOff>180975</xdr:rowOff>
    </xdr:to>
    <xdr:pic>
      <xdr:nvPicPr>
        <xdr:cNvPr id="7" name="Imagem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62622F0-8748-41EA-ACC4-D46B09961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247650"/>
          <a:ext cx="1464979" cy="314325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0</xdr:row>
      <xdr:rowOff>142875</xdr:rowOff>
    </xdr:from>
    <xdr:to>
      <xdr:col>11</xdr:col>
      <xdr:colOff>38100</xdr:colOff>
      <xdr:row>3</xdr:row>
      <xdr:rowOff>19050</xdr:rowOff>
    </xdr:to>
    <xdr:sp macro="" textlink="">
      <xdr:nvSpPr>
        <xdr:cNvPr id="2" name="Retângulo: Cantos Arredondados 1">
          <a:hlinkClick xmlns:r="http://schemas.openxmlformats.org/officeDocument/2006/relationships" r:id="rId1" tooltip="Ir para Começo"/>
          <a:extLst>
            <a:ext uri="{FF2B5EF4-FFF2-40B4-BE49-F238E27FC236}">
              <a16:creationId xmlns:a16="http://schemas.microsoft.com/office/drawing/2014/main" id="{DB44A461-C669-4D52-9B40-499A3CD7D4A8}"/>
            </a:ext>
          </a:extLst>
        </xdr:cNvPr>
        <xdr:cNvSpPr/>
      </xdr:nvSpPr>
      <xdr:spPr>
        <a:xfrm>
          <a:off x="415290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Começo</a:t>
          </a:r>
        </a:p>
      </xdr:txBody>
    </xdr:sp>
    <xdr:clientData/>
  </xdr:twoCellAnchor>
  <xdr:twoCellAnchor>
    <xdr:from>
      <xdr:col>11</xdr:col>
      <xdr:colOff>95250</xdr:colOff>
      <xdr:row>0</xdr:row>
      <xdr:rowOff>142875</xdr:rowOff>
    </xdr:from>
    <xdr:to>
      <xdr:col>13</xdr:col>
      <xdr:colOff>142875</xdr:colOff>
      <xdr:row>3</xdr:row>
      <xdr:rowOff>19050</xdr:rowOff>
    </xdr:to>
    <xdr:sp macro="" textlink="">
      <xdr:nvSpPr>
        <xdr:cNvPr id="3" name="Retângulo: Cantos Arredondados 2">
          <a:hlinkClick xmlns:r="http://schemas.openxmlformats.org/officeDocument/2006/relationships" r:id="rId2" tooltip="Ir para Conteúdo"/>
          <a:extLst>
            <a:ext uri="{FF2B5EF4-FFF2-40B4-BE49-F238E27FC236}">
              <a16:creationId xmlns:a16="http://schemas.microsoft.com/office/drawing/2014/main" id="{B74B1077-CA09-4E7A-BFA7-394E2A5D96E1}"/>
            </a:ext>
          </a:extLst>
        </xdr:cNvPr>
        <xdr:cNvSpPr/>
      </xdr:nvSpPr>
      <xdr:spPr>
        <a:xfrm>
          <a:off x="582930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Conteúdo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13</xdr:col>
      <xdr:colOff>200025</xdr:colOff>
      <xdr:row>0</xdr:row>
      <xdr:rowOff>142875</xdr:rowOff>
    </xdr:from>
    <xdr:to>
      <xdr:col>15</xdr:col>
      <xdr:colOff>600075</xdr:colOff>
      <xdr:row>3</xdr:row>
      <xdr:rowOff>19050</xdr:rowOff>
    </xdr:to>
    <xdr:sp macro="" textlink="">
      <xdr:nvSpPr>
        <xdr:cNvPr id="4" name="Retângulo: Cantos Arredondados 3">
          <a:hlinkClick xmlns:r="http://schemas.openxmlformats.org/officeDocument/2006/relationships" r:id="rId3" tooltip="Você está em Desempenho"/>
          <a:extLst>
            <a:ext uri="{FF2B5EF4-FFF2-40B4-BE49-F238E27FC236}">
              <a16:creationId xmlns:a16="http://schemas.microsoft.com/office/drawing/2014/main" id="{8D7CB64F-5C56-4C2E-95BD-403AB4112AD7}"/>
            </a:ext>
          </a:extLst>
        </xdr:cNvPr>
        <xdr:cNvSpPr/>
      </xdr:nvSpPr>
      <xdr:spPr>
        <a:xfrm>
          <a:off x="750570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Desempenho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57150</xdr:colOff>
      <xdr:row>0</xdr:row>
      <xdr:rowOff>142875</xdr:rowOff>
    </xdr:from>
    <xdr:to>
      <xdr:col>18</xdr:col>
      <xdr:colOff>457200</xdr:colOff>
      <xdr:row>3</xdr:row>
      <xdr:rowOff>19050</xdr:rowOff>
    </xdr:to>
    <xdr:sp macro="" textlink="">
      <xdr:nvSpPr>
        <xdr:cNvPr id="5" name="Retângulo: Cantos Arredondados 4">
          <a:hlinkClick xmlns:r="http://schemas.openxmlformats.org/officeDocument/2006/relationships" r:id="rId4" tooltip="Ir para Quadro de Horário"/>
          <a:extLst>
            <a:ext uri="{FF2B5EF4-FFF2-40B4-BE49-F238E27FC236}">
              <a16:creationId xmlns:a16="http://schemas.microsoft.com/office/drawing/2014/main" id="{411BFB44-C3D0-4D67-B36C-11E47C6C3587}"/>
            </a:ext>
          </a:extLst>
        </xdr:cNvPr>
        <xdr:cNvSpPr/>
      </xdr:nvSpPr>
      <xdr:spPr>
        <a:xfrm>
          <a:off x="9191625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Quadro de Horário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18</xdr:col>
      <xdr:colOff>523875</xdr:colOff>
      <xdr:row>0</xdr:row>
      <xdr:rowOff>142875</xdr:rowOff>
    </xdr:from>
    <xdr:to>
      <xdr:col>21</xdr:col>
      <xdr:colOff>314325</xdr:colOff>
      <xdr:row>3</xdr:row>
      <xdr:rowOff>19050</xdr:rowOff>
    </xdr:to>
    <xdr:sp macro="" textlink="">
      <xdr:nvSpPr>
        <xdr:cNvPr id="6" name="Retângulo: Cantos Arredondados 5">
          <a:hlinkClick xmlns:r="http://schemas.openxmlformats.org/officeDocument/2006/relationships" r:id="rId5" tooltip="Ir para Resultado"/>
          <a:extLst>
            <a:ext uri="{FF2B5EF4-FFF2-40B4-BE49-F238E27FC236}">
              <a16:creationId xmlns:a16="http://schemas.microsoft.com/office/drawing/2014/main" id="{8C9C53B6-8762-4919-93ED-EFF2F02BFA58}"/>
            </a:ext>
          </a:extLst>
        </xdr:cNvPr>
        <xdr:cNvSpPr/>
      </xdr:nvSpPr>
      <xdr:spPr>
        <a:xfrm>
          <a:off x="1087755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</a:rPr>
            <a:t>Resultado</a:t>
          </a:r>
        </a:p>
      </xdr:txBody>
    </xdr:sp>
    <xdr:clientData/>
  </xdr:twoCellAnchor>
  <xdr:twoCellAnchor editAs="oneCell">
    <xdr:from>
      <xdr:col>0</xdr:col>
      <xdr:colOff>123825</xdr:colOff>
      <xdr:row>1</xdr:row>
      <xdr:rowOff>47625</xdr:rowOff>
    </xdr:from>
    <xdr:to>
      <xdr:col>3</xdr:col>
      <xdr:colOff>83854</xdr:colOff>
      <xdr:row>2</xdr:row>
      <xdr:rowOff>171450</xdr:rowOff>
    </xdr:to>
    <xdr:pic>
      <xdr:nvPicPr>
        <xdr:cNvPr id="7" name="Imagem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BFF5F13-91F4-4B6F-86C1-0BAD9FF58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238125"/>
          <a:ext cx="1464979" cy="314325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0</xdr:row>
      <xdr:rowOff>142875</xdr:rowOff>
    </xdr:from>
    <xdr:to>
      <xdr:col>11</xdr:col>
      <xdr:colOff>38100</xdr:colOff>
      <xdr:row>3</xdr:row>
      <xdr:rowOff>19050</xdr:rowOff>
    </xdr:to>
    <xdr:sp macro="" textlink="">
      <xdr:nvSpPr>
        <xdr:cNvPr id="2" name="Retângulo: Cantos Arredondados 1">
          <a:hlinkClick xmlns:r="http://schemas.openxmlformats.org/officeDocument/2006/relationships" r:id="rId1" tooltip="Ir para Começo"/>
          <a:extLst>
            <a:ext uri="{FF2B5EF4-FFF2-40B4-BE49-F238E27FC236}">
              <a16:creationId xmlns:a16="http://schemas.microsoft.com/office/drawing/2014/main" id="{7EEEB7E9-09D0-41F5-ADCF-0E2C2068FEB4}"/>
            </a:ext>
          </a:extLst>
        </xdr:cNvPr>
        <xdr:cNvSpPr/>
      </xdr:nvSpPr>
      <xdr:spPr>
        <a:xfrm>
          <a:off x="415290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Começo</a:t>
          </a:r>
        </a:p>
      </xdr:txBody>
    </xdr:sp>
    <xdr:clientData/>
  </xdr:twoCellAnchor>
  <xdr:twoCellAnchor>
    <xdr:from>
      <xdr:col>11</xdr:col>
      <xdr:colOff>95250</xdr:colOff>
      <xdr:row>0</xdr:row>
      <xdr:rowOff>142875</xdr:rowOff>
    </xdr:from>
    <xdr:to>
      <xdr:col>13</xdr:col>
      <xdr:colOff>142875</xdr:colOff>
      <xdr:row>3</xdr:row>
      <xdr:rowOff>19050</xdr:rowOff>
    </xdr:to>
    <xdr:sp macro="" textlink="">
      <xdr:nvSpPr>
        <xdr:cNvPr id="3" name="Retângulo: Cantos Arredondados 2">
          <a:hlinkClick xmlns:r="http://schemas.openxmlformats.org/officeDocument/2006/relationships" r:id="rId2" tooltip="Ir para Conteúdo"/>
          <a:extLst>
            <a:ext uri="{FF2B5EF4-FFF2-40B4-BE49-F238E27FC236}">
              <a16:creationId xmlns:a16="http://schemas.microsoft.com/office/drawing/2014/main" id="{A8817E20-A924-4E99-9E70-3B6B90A332EE}"/>
            </a:ext>
          </a:extLst>
        </xdr:cNvPr>
        <xdr:cNvSpPr/>
      </xdr:nvSpPr>
      <xdr:spPr>
        <a:xfrm>
          <a:off x="582930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Conteúdo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13</xdr:col>
      <xdr:colOff>200025</xdr:colOff>
      <xdr:row>0</xdr:row>
      <xdr:rowOff>142875</xdr:rowOff>
    </xdr:from>
    <xdr:to>
      <xdr:col>15</xdr:col>
      <xdr:colOff>600075</xdr:colOff>
      <xdr:row>3</xdr:row>
      <xdr:rowOff>19050</xdr:rowOff>
    </xdr:to>
    <xdr:sp macro="" textlink="">
      <xdr:nvSpPr>
        <xdr:cNvPr id="4" name="Retângulo: Cantos Arredondados 3">
          <a:hlinkClick xmlns:r="http://schemas.openxmlformats.org/officeDocument/2006/relationships" r:id="rId3" tooltip="Você está em Desempenho"/>
          <a:extLst>
            <a:ext uri="{FF2B5EF4-FFF2-40B4-BE49-F238E27FC236}">
              <a16:creationId xmlns:a16="http://schemas.microsoft.com/office/drawing/2014/main" id="{9F32B9DB-616B-446F-BB33-852B35A83A93}"/>
            </a:ext>
          </a:extLst>
        </xdr:cNvPr>
        <xdr:cNvSpPr/>
      </xdr:nvSpPr>
      <xdr:spPr>
        <a:xfrm>
          <a:off x="750570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Desempenho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57150</xdr:colOff>
      <xdr:row>0</xdr:row>
      <xdr:rowOff>142875</xdr:rowOff>
    </xdr:from>
    <xdr:to>
      <xdr:col>18</xdr:col>
      <xdr:colOff>457200</xdr:colOff>
      <xdr:row>3</xdr:row>
      <xdr:rowOff>19050</xdr:rowOff>
    </xdr:to>
    <xdr:sp macro="" textlink="">
      <xdr:nvSpPr>
        <xdr:cNvPr id="5" name="Retângulo: Cantos Arredondados 4">
          <a:hlinkClick xmlns:r="http://schemas.openxmlformats.org/officeDocument/2006/relationships" r:id="rId4" tooltip="Ir para Quadro de Horário"/>
          <a:extLst>
            <a:ext uri="{FF2B5EF4-FFF2-40B4-BE49-F238E27FC236}">
              <a16:creationId xmlns:a16="http://schemas.microsoft.com/office/drawing/2014/main" id="{FE92C88C-F811-42E1-BC6F-C84B099D6D78}"/>
            </a:ext>
          </a:extLst>
        </xdr:cNvPr>
        <xdr:cNvSpPr/>
      </xdr:nvSpPr>
      <xdr:spPr>
        <a:xfrm>
          <a:off x="9191625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  <a:cs typeface="Segoe UI" panose="020B0502040204020203" pitchFamily="34" charset="0"/>
            </a:rPr>
            <a:t>Quadro de Horário</a:t>
          </a:r>
        </a:p>
        <a:p>
          <a:pPr algn="ctr"/>
          <a:endParaRPr lang="pt-BR" sz="1100" b="1"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18</xdr:col>
      <xdr:colOff>523875</xdr:colOff>
      <xdr:row>0</xdr:row>
      <xdr:rowOff>142875</xdr:rowOff>
    </xdr:from>
    <xdr:to>
      <xdr:col>21</xdr:col>
      <xdr:colOff>314325</xdr:colOff>
      <xdr:row>3</xdr:row>
      <xdr:rowOff>19050</xdr:rowOff>
    </xdr:to>
    <xdr:sp macro="" textlink="">
      <xdr:nvSpPr>
        <xdr:cNvPr id="6" name="Retângulo: Cantos Arredondados 5">
          <a:hlinkClick xmlns:r="http://schemas.openxmlformats.org/officeDocument/2006/relationships" r:id="rId5" tooltip="Ir para Resultado"/>
          <a:extLst>
            <a:ext uri="{FF2B5EF4-FFF2-40B4-BE49-F238E27FC236}">
              <a16:creationId xmlns:a16="http://schemas.microsoft.com/office/drawing/2014/main" id="{DE352128-7E48-4571-A13A-F45A5E6E74E3}"/>
            </a:ext>
          </a:extLst>
        </xdr:cNvPr>
        <xdr:cNvSpPr/>
      </xdr:nvSpPr>
      <xdr:spPr>
        <a:xfrm>
          <a:off x="10877550" y="142875"/>
          <a:ext cx="1619250" cy="447675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+mn-lt"/>
            </a:rPr>
            <a:t>Resultado</a:t>
          </a:r>
        </a:p>
      </xdr:txBody>
    </xdr:sp>
    <xdr:clientData/>
  </xdr:twoCellAnchor>
  <xdr:twoCellAnchor editAs="oneCell">
    <xdr:from>
      <xdr:col>0</xdr:col>
      <xdr:colOff>114300</xdr:colOff>
      <xdr:row>1</xdr:row>
      <xdr:rowOff>66675</xdr:rowOff>
    </xdr:from>
    <xdr:to>
      <xdr:col>3</xdr:col>
      <xdr:colOff>74329</xdr:colOff>
      <xdr:row>3</xdr:row>
      <xdr:rowOff>0</xdr:rowOff>
    </xdr:to>
    <xdr:pic>
      <xdr:nvPicPr>
        <xdr:cNvPr id="7" name="Imagem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F912E06-B483-4FBF-A13D-4730FA5065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57175"/>
          <a:ext cx="1464979" cy="31432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K11:AO28" totalsRowCount="1" headerRowDxfId="936" dataDxfId="935" totalsRowDxfId="933" tableBorderDxfId="934" headerRowCellStyle="Ênfase1">
  <autoFilter ref="K11:AO27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tableColumns count="31">
    <tableColumn id="1" xr3:uid="{00000000-0010-0000-0000-000001000000}" name="1-jan" totalsRowFunction="sum" dataDxfId="61" totalsRowDxfId="30"/>
    <tableColumn id="2" xr3:uid="{00000000-0010-0000-0000-000002000000}" name="2-jan" totalsRowFunction="sum" dataDxfId="60" totalsRowDxfId="29"/>
    <tableColumn id="3" xr3:uid="{00000000-0010-0000-0000-000003000000}" name="3-jan" totalsRowFunction="sum" dataDxfId="59" totalsRowDxfId="28"/>
    <tableColumn id="4" xr3:uid="{00000000-0010-0000-0000-000004000000}" name="4-jan" totalsRowFunction="sum" dataDxfId="58" totalsRowDxfId="27"/>
    <tableColumn id="5" xr3:uid="{00000000-0010-0000-0000-000005000000}" name="5-jan" totalsRowFunction="sum" dataDxfId="57" totalsRowDxfId="26"/>
    <tableColumn id="6" xr3:uid="{00000000-0010-0000-0000-000006000000}" name="6-jan" totalsRowFunction="sum" dataDxfId="56" totalsRowDxfId="25"/>
    <tableColumn id="7" xr3:uid="{00000000-0010-0000-0000-000007000000}" name="7-jan" totalsRowFunction="sum" dataDxfId="55" totalsRowDxfId="24"/>
    <tableColumn id="8" xr3:uid="{00000000-0010-0000-0000-000008000000}" name="8-jan" totalsRowFunction="sum" dataDxfId="54" totalsRowDxfId="23"/>
    <tableColumn id="9" xr3:uid="{00000000-0010-0000-0000-000009000000}" name="9-jan" totalsRowFunction="sum" dataDxfId="53" totalsRowDxfId="22"/>
    <tableColumn id="10" xr3:uid="{00000000-0010-0000-0000-00000A000000}" name="10-jan" totalsRowFunction="sum" dataDxfId="52" totalsRowDxfId="21"/>
    <tableColumn id="11" xr3:uid="{00000000-0010-0000-0000-00000B000000}" name="11-jan" totalsRowFunction="sum" dataDxfId="51" totalsRowDxfId="20"/>
    <tableColumn id="12" xr3:uid="{00000000-0010-0000-0000-00000C000000}" name="12-jan" totalsRowFunction="sum" dataDxfId="50" totalsRowDxfId="19"/>
    <tableColumn id="13" xr3:uid="{00000000-0010-0000-0000-00000D000000}" name="13-jan" totalsRowFunction="sum" dataDxfId="49" totalsRowDxfId="18"/>
    <tableColumn id="14" xr3:uid="{00000000-0010-0000-0000-00000E000000}" name="14-jan" totalsRowFunction="sum" dataDxfId="48" totalsRowDxfId="17"/>
    <tableColumn id="15" xr3:uid="{00000000-0010-0000-0000-00000F000000}" name="15-jan" totalsRowFunction="sum" dataDxfId="47" totalsRowDxfId="16"/>
    <tableColumn id="16" xr3:uid="{00000000-0010-0000-0000-000010000000}" name="16-jan" totalsRowFunction="sum" dataDxfId="46" totalsRowDxfId="15"/>
    <tableColumn id="17" xr3:uid="{00000000-0010-0000-0000-000011000000}" name="17-jan" totalsRowFunction="sum" dataDxfId="45" totalsRowDxfId="14"/>
    <tableColumn id="18" xr3:uid="{00000000-0010-0000-0000-000012000000}" name="18-jan" totalsRowFunction="sum" dataDxfId="44" totalsRowDxfId="13"/>
    <tableColumn id="19" xr3:uid="{00000000-0010-0000-0000-000013000000}" name="19-jan" totalsRowFunction="sum" dataDxfId="43" totalsRowDxfId="12"/>
    <tableColumn id="20" xr3:uid="{00000000-0010-0000-0000-000014000000}" name="20-jan" totalsRowFunction="sum" dataDxfId="42" totalsRowDxfId="11"/>
    <tableColumn id="21" xr3:uid="{00000000-0010-0000-0000-000015000000}" name="21-jan" totalsRowFunction="sum" dataDxfId="41" totalsRowDxfId="10"/>
    <tableColumn id="22" xr3:uid="{00000000-0010-0000-0000-000016000000}" name="22-jan" totalsRowFunction="sum" dataDxfId="40" totalsRowDxfId="9"/>
    <tableColumn id="23" xr3:uid="{00000000-0010-0000-0000-000017000000}" name="23-jan" totalsRowFunction="sum" dataDxfId="39" totalsRowDxfId="8"/>
    <tableColumn id="24" xr3:uid="{00000000-0010-0000-0000-000018000000}" name="24-jan" totalsRowFunction="sum" dataDxfId="38" totalsRowDxfId="7"/>
    <tableColumn id="25" xr3:uid="{00000000-0010-0000-0000-000019000000}" name="25-jan" totalsRowFunction="sum" dataDxfId="37" totalsRowDxfId="6"/>
    <tableColumn id="26" xr3:uid="{00000000-0010-0000-0000-00001A000000}" name="26-jan" totalsRowFunction="sum" dataDxfId="36" totalsRowDxfId="5"/>
    <tableColumn id="27" xr3:uid="{00000000-0010-0000-0000-00001B000000}" name="27-jan" totalsRowFunction="sum" dataDxfId="35" totalsRowDxfId="4"/>
    <tableColumn id="28" xr3:uid="{00000000-0010-0000-0000-00001C000000}" name="28-jan" totalsRowFunction="sum" dataDxfId="34" totalsRowDxfId="3"/>
    <tableColumn id="29" xr3:uid="{00000000-0010-0000-0000-00001D000000}" name="29-jan" totalsRowFunction="sum" dataDxfId="33" totalsRowDxfId="2"/>
    <tableColumn id="30" xr3:uid="{00000000-0010-0000-0000-00001E000000}" name="30-jan" totalsRowFunction="sum" dataDxfId="32" totalsRowDxfId="1"/>
    <tableColumn id="31" xr3:uid="{00000000-0010-0000-0000-00001F000000}" name="31-jan" totalsRowFunction="sum" dataDxfId="31" totalsRowDxfId="0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13" displayName="Tabela13" ref="K11:AL28" totalsRowCount="1" headerRowDxfId="932" dataDxfId="931" totalsRowDxfId="929" tableBorderDxfId="930" headerRowCellStyle="Ênfase1">
  <tableColumns count="28">
    <tableColumn id="1" xr3:uid="{00000000-0010-0000-0100-000001000000}" name="1-fev" totalsRowFunction="sum" dataDxfId="928" totalsRowDxfId="927"/>
    <tableColumn id="2" xr3:uid="{00000000-0010-0000-0100-000002000000}" name="2-fev" totalsRowFunction="sum" dataDxfId="926" totalsRowDxfId="925"/>
    <tableColumn id="3" xr3:uid="{00000000-0010-0000-0100-000003000000}" name="3-fev" totalsRowFunction="sum" dataDxfId="924" totalsRowDxfId="923"/>
    <tableColumn id="4" xr3:uid="{00000000-0010-0000-0100-000004000000}" name="4-fev" totalsRowFunction="sum" dataDxfId="922" totalsRowDxfId="921"/>
    <tableColumn id="5" xr3:uid="{00000000-0010-0000-0100-000005000000}" name="5-fev" totalsRowFunction="sum" dataDxfId="920" totalsRowDxfId="919"/>
    <tableColumn id="6" xr3:uid="{00000000-0010-0000-0100-000006000000}" name="6-fev" totalsRowFunction="sum" dataDxfId="918" totalsRowDxfId="917"/>
    <tableColumn id="7" xr3:uid="{00000000-0010-0000-0100-000007000000}" name="7-fev" totalsRowFunction="sum" dataDxfId="916" totalsRowDxfId="915"/>
    <tableColumn id="8" xr3:uid="{00000000-0010-0000-0100-000008000000}" name="8-jan" totalsRowFunction="sum" dataDxfId="914" totalsRowDxfId="913"/>
    <tableColumn id="9" xr3:uid="{00000000-0010-0000-0100-000009000000}" name="9-fev" totalsRowFunction="sum" dataDxfId="912" totalsRowDxfId="911"/>
    <tableColumn id="10" xr3:uid="{00000000-0010-0000-0100-00000A000000}" name="10-fev" totalsRowFunction="sum" dataDxfId="910" totalsRowDxfId="909"/>
    <tableColumn id="11" xr3:uid="{00000000-0010-0000-0100-00000B000000}" name="11-fev" totalsRowFunction="sum" dataDxfId="908" totalsRowDxfId="907"/>
    <tableColumn id="12" xr3:uid="{00000000-0010-0000-0100-00000C000000}" name="12-fev" totalsRowFunction="sum" dataDxfId="906" totalsRowDxfId="905"/>
    <tableColumn id="13" xr3:uid="{00000000-0010-0000-0100-00000D000000}" name="13-fev" totalsRowFunction="sum" dataDxfId="904" totalsRowDxfId="903"/>
    <tableColumn id="14" xr3:uid="{00000000-0010-0000-0100-00000E000000}" name="14-fev" totalsRowFunction="sum" dataDxfId="902" totalsRowDxfId="901"/>
    <tableColumn id="15" xr3:uid="{00000000-0010-0000-0100-00000F000000}" name="15-fev" totalsRowFunction="sum" dataDxfId="900" totalsRowDxfId="899"/>
    <tableColumn id="16" xr3:uid="{00000000-0010-0000-0100-000010000000}" name="16-fev" totalsRowFunction="sum" dataDxfId="898" totalsRowDxfId="897"/>
    <tableColumn id="17" xr3:uid="{00000000-0010-0000-0100-000011000000}" name="17-fev" totalsRowFunction="sum" dataDxfId="896" totalsRowDxfId="895"/>
    <tableColumn id="18" xr3:uid="{00000000-0010-0000-0100-000012000000}" name="18-fev" totalsRowFunction="sum" dataDxfId="894" totalsRowDxfId="893"/>
    <tableColumn id="19" xr3:uid="{00000000-0010-0000-0100-000013000000}" name="19-fev" totalsRowFunction="sum" dataDxfId="892" totalsRowDxfId="891"/>
    <tableColumn id="20" xr3:uid="{00000000-0010-0000-0100-000014000000}" name="20-fev" totalsRowFunction="sum" dataDxfId="890" totalsRowDxfId="889"/>
    <tableColumn id="21" xr3:uid="{00000000-0010-0000-0100-000015000000}" name="21-fev" totalsRowFunction="sum" dataDxfId="888" totalsRowDxfId="887"/>
    <tableColumn id="22" xr3:uid="{00000000-0010-0000-0100-000016000000}" name="22-jan" totalsRowFunction="sum" dataDxfId="886" totalsRowDxfId="885"/>
    <tableColumn id="23" xr3:uid="{00000000-0010-0000-0100-000017000000}" name="23-fev" totalsRowFunction="sum" dataDxfId="884" totalsRowDxfId="883"/>
    <tableColumn id="24" xr3:uid="{00000000-0010-0000-0100-000018000000}" name="24-fev" totalsRowFunction="sum" dataDxfId="882" totalsRowDxfId="881"/>
    <tableColumn id="25" xr3:uid="{00000000-0010-0000-0100-000019000000}" name="25-fev" totalsRowFunction="sum" dataDxfId="880" totalsRowDxfId="879"/>
    <tableColumn id="26" xr3:uid="{00000000-0010-0000-0100-00001A000000}" name="26-fev" totalsRowFunction="sum" dataDxfId="878" totalsRowDxfId="877"/>
    <tableColumn id="27" xr3:uid="{00000000-0010-0000-0100-00001B000000}" name="27-fev" totalsRowFunction="sum" dataDxfId="876" totalsRowDxfId="875"/>
    <tableColumn id="28" xr3:uid="{00000000-0010-0000-0100-00001C000000}" name="28-fev" totalsRowFunction="sum" dataDxfId="874" totalsRowDxfId="873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4" displayName="Tabela14" ref="K11:AO28" totalsRowCount="1" headerRowDxfId="872" dataDxfId="871" totalsRowDxfId="869" tableBorderDxfId="870" headerRowCellStyle="Ênfase1">
  <tableColumns count="31">
    <tableColumn id="1" xr3:uid="{00000000-0010-0000-0200-000001000000}" name="1-mar" totalsRowFunction="sum" dataDxfId="868" totalsRowDxfId="867"/>
    <tableColumn id="2" xr3:uid="{00000000-0010-0000-0200-000002000000}" name="2-mar" totalsRowFunction="sum" dataDxfId="866" totalsRowDxfId="865"/>
    <tableColumn id="3" xr3:uid="{00000000-0010-0000-0200-000003000000}" name="3-mar" totalsRowFunction="sum" dataDxfId="864" totalsRowDxfId="863"/>
    <tableColumn id="4" xr3:uid="{00000000-0010-0000-0200-000004000000}" name="4-mar" totalsRowFunction="sum" dataDxfId="862" totalsRowDxfId="861"/>
    <tableColumn id="5" xr3:uid="{00000000-0010-0000-0200-000005000000}" name="5-mar" totalsRowFunction="sum" dataDxfId="860" totalsRowDxfId="859"/>
    <tableColumn id="6" xr3:uid="{00000000-0010-0000-0200-000006000000}" name="6-mar" totalsRowFunction="sum" dataDxfId="858" totalsRowDxfId="857"/>
    <tableColumn id="7" xr3:uid="{00000000-0010-0000-0200-000007000000}" name="7-mar" totalsRowFunction="sum" dataDxfId="856" totalsRowDxfId="855"/>
    <tableColumn id="8" xr3:uid="{00000000-0010-0000-0200-000008000000}" name="8-mar" totalsRowFunction="sum" dataDxfId="854" totalsRowDxfId="853"/>
    <tableColumn id="9" xr3:uid="{00000000-0010-0000-0200-000009000000}" name="9-mar" totalsRowFunction="sum" dataDxfId="852" totalsRowDxfId="851"/>
    <tableColumn id="10" xr3:uid="{00000000-0010-0000-0200-00000A000000}" name="10-mar" totalsRowFunction="sum" dataDxfId="850" totalsRowDxfId="849"/>
    <tableColumn id="11" xr3:uid="{00000000-0010-0000-0200-00000B000000}" name="11-mar" totalsRowFunction="sum" dataDxfId="848" totalsRowDxfId="847"/>
    <tableColumn id="12" xr3:uid="{00000000-0010-0000-0200-00000C000000}" name="12-mar" totalsRowFunction="sum" dataDxfId="846" totalsRowDxfId="845"/>
    <tableColumn id="13" xr3:uid="{00000000-0010-0000-0200-00000D000000}" name="13-mar" totalsRowFunction="sum" dataDxfId="844" totalsRowDxfId="843"/>
    <tableColumn id="14" xr3:uid="{00000000-0010-0000-0200-00000E000000}" name="14-mar" totalsRowFunction="sum" dataDxfId="842" totalsRowDxfId="841"/>
    <tableColumn id="15" xr3:uid="{00000000-0010-0000-0200-00000F000000}" name="15-mar" totalsRowFunction="sum" dataDxfId="840" totalsRowDxfId="839"/>
    <tableColumn id="16" xr3:uid="{00000000-0010-0000-0200-000010000000}" name="16-mar" totalsRowFunction="sum" dataDxfId="838" totalsRowDxfId="837"/>
    <tableColumn id="17" xr3:uid="{00000000-0010-0000-0200-000011000000}" name="17-mar" totalsRowFunction="sum" dataDxfId="836" totalsRowDxfId="835"/>
    <tableColumn id="18" xr3:uid="{00000000-0010-0000-0200-000012000000}" name="18-mar" totalsRowFunction="sum" dataDxfId="834" totalsRowDxfId="833"/>
    <tableColumn id="19" xr3:uid="{00000000-0010-0000-0200-000013000000}" name="19-mar" totalsRowFunction="sum" dataDxfId="832" totalsRowDxfId="831"/>
    <tableColumn id="20" xr3:uid="{00000000-0010-0000-0200-000014000000}" name="20-mar" totalsRowFunction="sum" dataDxfId="830" totalsRowDxfId="829"/>
    <tableColumn id="21" xr3:uid="{00000000-0010-0000-0200-000015000000}" name="21-mar" totalsRowFunction="sum" dataDxfId="828" totalsRowDxfId="827"/>
    <tableColumn id="22" xr3:uid="{00000000-0010-0000-0200-000016000000}" name="22-mar" totalsRowFunction="sum" dataDxfId="826" totalsRowDxfId="825"/>
    <tableColumn id="23" xr3:uid="{00000000-0010-0000-0200-000017000000}" name="23-mar" totalsRowFunction="sum" dataDxfId="824" totalsRowDxfId="823"/>
    <tableColumn id="24" xr3:uid="{00000000-0010-0000-0200-000018000000}" name="24-mar" totalsRowFunction="sum" dataDxfId="822" totalsRowDxfId="821"/>
    <tableColumn id="25" xr3:uid="{00000000-0010-0000-0200-000019000000}" name="25-mar" totalsRowFunction="sum" dataDxfId="820" totalsRowDxfId="819"/>
    <tableColumn id="26" xr3:uid="{00000000-0010-0000-0200-00001A000000}" name="26-mar" totalsRowFunction="sum" dataDxfId="818" totalsRowDxfId="817"/>
    <tableColumn id="27" xr3:uid="{00000000-0010-0000-0200-00001B000000}" name="27-mar" totalsRowFunction="sum" dataDxfId="816" totalsRowDxfId="815"/>
    <tableColumn id="28" xr3:uid="{00000000-0010-0000-0200-00001C000000}" name="28-mar" totalsRowFunction="sum" dataDxfId="814" totalsRowDxfId="813"/>
    <tableColumn id="29" xr3:uid="{00000000-0010-0000-0200-00001D000000}" name="29-mar" totalsRowFunction="sum" dataDxfId="812" totalsRowDxfId="811"/>
    <tableColumn id="30" xr3:uid="{00000000-0010-0000-0200-00001E000000}" name="30-mar" totalsRowFunction="sum" dataDxfId="810" totalsRowDxfId="809"/>
    <tableColumn id="31" xr3:uid="{00000000-0010-0000-0200-00001F000000}" name="31-mar" totalsRowFunction="sum" dataDxfId="808" totalsRowDxfId="807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15" displayName="Tabela15" ref="K11:AN28" totalsRowCount="1" headerRowDxfId="806" dataDxfId="805" totalsRowDxfId="803" tableBorderDxfId="804" headerRowCellStyle="Ênfase1">
  <tableColumns count="30">
    <tableColumn id="1" xr3:uid="{00000000-0010-0000-0300-000001000000}" name="1-abr" totalsRowFunction="sum" dataDxfId="802" totalsRowDxfId="801"/>
    <tableColumn id="2" xr3:uid="{00000000-0010-0000-0300-000002000000}" name="2-abr" totalsRowFunction="sum" dataDxfId="800" totalsRowDxfId="799"/>
    <tableColumn id="3" xr3:uid="{00000000-0010-0000-0300-000003000000}" name="3-abr" totalsRowFunction="sum" dataDxfId="798" totalsRowDxfId="797"/>
    <tableColumn id="4" xr3:uid="{00000000-0010-0000-0300-000004000000}" name="4-abr" totalsRowFunction="sum" dataDxfId="796" totalsRowDxfId="795"/>
    <tableColumn id="5" xr3:uid="{00000000-0010-0000-0300-000005000000}" name="5-abr" totalsRowFunction="sum" dataDxfId="794" totalsRowDxfId="793"/>
    <tableColumn id="6" xr3:uid="{00000000-0010-0000-0300-000006000000}" name="6-abr" totalsRowFunction="sum" dataDxfId="792" totalsRowDxfId="791"/>
    <tableColumn id="7" xr3:uid="{00000000-0010-0000-0300-000007000000}" name="7-abr" totalsRowFunction="sum" dataDxfId="790" totalsRowDxfId="789"/>
    <tableColumn id="8" xr3:uid="{00000000-0010-0000-0300-000008000000}" name="8-abr" totalsRowFunction="sum" dataDxfId="788" totalsRowDxfId="787"/>
    <tableColumn id="9" xr3:uid="{00000000-0010-0000-0300-000009000000}" name="9-abr" totalsRowFunction="sum" dataDxfId="786" totalsRowDxfId="785"/>
    <tableColumn id="10" xr3:uid="{00000000-0010-0000-0300-00000A000000}" name="10-abr" totalsRowFunction="sum" dataDxfId="784" totalsRowDxfId="783"/>
    <tableColumn id="11" xr3:uid="{00000000-0010-0000-0300-00000B000000}" name="11-abr" totalsRowFunction="sum" dataDxfId="782" totalsRowDxfId="781"/>
    <tableColumn id="12" xr3:uid="{00000000-0010-0000-0300-00000C000000}" name="12-abr" totalsRowFunction="sum" dataDxfId="780" totalsRowDxfId="779"/>
    <tableColumn id="13" xr3:uid="{00000000-0010-0000-0300-00000D000000}" name="13-abr" totalsRowFunction="sum" dataDxfId="778" totalsRowDxfId="777"/>
    <tableColumn id="14" xr3:uid="{00000000-0010-0000-0300-00000E000000}" name="14-abr" totalsRowFunction="sum" dataDxfId="776" totalsRowDxfId="775"/>
    <tableColumn id="15" xr3:uid="{00000000-0010-0000-0300-00000F000000}" name="15-abr" totalsRowFunction="sum" dataDxfId="774" totalsRowDxfId="773"/>
    <tableColumn id="16" xr3:uid="{00000000-0010-0000-0300-000010000000}" name="16-abr" totalsRowFunction="sum" dataDxfId="772" totalsRowDxfId="771"/>
    <tableColumn id="17" xr3:uid="{00000000-0010-0000-0300-000011000000}" name="17-abr" totalsRowFunction="sum" dataDxfId="770" totalsRowDxfId="769"/>
    <tableColumn id="18" xr3:uid="{00000000-0010-0000-0300-000012000000}" name="18-abr" totalsRowFunction="sum" dataDxfId="768" totalsRowDxfId="767"/>
    <tableColumn id="19" xr3:uid="{00000000-0010-0000-0300-000013000000}" name="19-abr" totalsRowFunction="sum" dataDxfId="766" totalsRowDxfId="765"/>
    <tableColumn id="20" xr3:uid="{00000000-0010-0000-0300-000014000000}" name="20-abr" totalsRowFunction="sum" dataDxfId="764" totalsRowDxfId="763"/>
    <tableColumn id="21" xr3:uid="{00000000-0010-0000-0300-000015000000}" name="21-abr" totalsRowFunction="sum" dataDxfId="762" totalsRowDxfId="761"/>
    <tableColumn id="22" xr3:uid="{00000000-0010-0000-0300-000016000000}" name="22-abr" totalsRowFunction="sum" dataDxfId="760" totalsRowDxfId="759"/>
    <tableColumn id="23" xr3:uid="{00000000-0010-0000-0300-000017000000}" name="23-abr" totalsRowFunction="sum" dataDxfId="758" totalsRowDxfId="757"/>
    <tableColumn id="24" xr3:uid="{00000000-0010-0000-0300-000018000000}" name="24-abr" totalsRowFunction="sum" dataDxfId="756" totalsRowDxfId="755"/>
    <tableColumn id="25" xr3:uid="{00000000-0010-0000-0300-000019000000}" name="25-abr" totalsRowFunction="sum" dataDxfId="754" totalsRowDxfId="753"/>
    <tableColumn id="26" xr3:uid="{00000000-0010-0000-0300-00001A000000}" name="26-abr" totalsRowFunction="sum" dataDxfId="752" totalsRowDxfId="751"/>
    <tableColumn id="27" xr3:uid="{00000000-0010-0000-0300-00001B000000}" name="27-abr" totalsRowFunction="sum" dataDxfId="750" totalsRowDxfId="749"/>
    <tableColumn id="28" xr3:uid="{00000000-0010-0000-0300-00001C000000}" name="28-abr" totalsRowFunction="sum" dataDxfId="748" totalsRowDxfId="747"/>
    <tableColumn id="29" xr3:uid="{00000000-0010-0000-0300-00001D000000}" name="29-abr" totalsRowFunction="sum" dataDxfId="746" totalsRowDxfId="745"/>
    <tableColumn id="30" xr3:uid="{00000000-0010-0000-0300-00001E000000}" name="30-abr" totalsRowFunction="sum" dataDxfId="744" totalsRowDxfId="743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16" displayName="Tabela16" ref="K11:AO28" totalsRowCount="1" headerRowDxfId="742" dataDxfId="741" totalsRowDxfId="739" tableBorderDxfId="740" headerRowCellStyle="Ênfase1">
  <tableColumns count="31">
    <tableColumn id="1" xr3:uid="{00000000-0010-0000-0400-000001000000}" name="1-mai" totalsRowFunction="sum" dataDxfId="738" totalsRowDxfId="737"/>
    <tableColumn id="2" xr3:uid="{00000000-0010-0000-0400-000002000000}" name="2-mai" totalsRowFunction="sum" dataDxfId="736" totalsRowDxfId="735"/>
    <tableColumn id="3" xr3:uid="{00000000-0010-0000-0400-000003000000}" name="3-mai" totalsRowFunction="sum" dataDxfId="734" totalsRowDxfId="733"/>
    <tableColumn id="4" xr3:uid="{00000000-0010-0000-0400-000004000000}" name="4-mai" totalsRowFunction="sum" dataDxfId="732" totalsRowDxfId="731"/>
    <tableColumn id="5" xr3:uid="{00000000-0010-0000-0400-000005000000}" name="5-mai" totalsRowFunction="sum" dataDxfId="730" totalsRowDxfId="729"/>
    <tableColumn id="6" xr3:uid="{00000000-0010-0000-0400-000006000000}" name="6-mai" totalsRowFunction="sum" dataDxfId="728" totalsRowDxfId="727"/>
    <tableColumn id="7" xr3:uid="{00000000-0010-0000-0400-000007000000}" name="7-mai" totalsRowFunction="sum" dataDxfId="726" totalsRowDxfId="725"/>
    <tableColumn id="8" xr3:uid="{00000000-0010-0000-0400-000008000000}" name="8-mai" totalsRowFunction="sum" dataDxfId="724" totalsRowDxfId="723"/>
    <tableColumn id="9" xr3:uid="{00000000-0010-0000-0400-000009000000}" name="9-mai" totalsRowFunction="sum" dataDxfId="722" totalsRowDxfId="721"/>
    <tableColumn id="10" xr3:uid="{00000000-0010-0000-0400-00000A000000}" name="10-mai" totalsRowFunction="sum" dataDxfId="720" totalsRowDxfId="719"/>
    <tableColumn id="11" xr3:uid="{00000000-0010-0000-0400-00000B000000}" name="11-mai" totalsRowFunction="sum" dataDxfId="718" totalsRowDxfId="717"/>
    <tableColumn id="12" xr3:uid="{00000000-0010-0000-0400-00000C000000}" name="12-mai" totalsRowFunction="sum" dataDxfId="716" totalsRowDxfId="715"/>
    <tableColumn id="13" xr3:uid="{00000000-0010-0000-0400-00000D000000}" name="13-mai" totalsRowFunction="sum" dataDxfId="714" totalsRowDxfId="713"/>
    <tableColumn id="14" xr3:uid="{00000000-0010-0000-0400-00000E000000}" name="14-mai" totalsRowFunction="sum" dataDxfId="712" totalsRowDxfId="711"/>
    <tableColumn id="15" xr3:uid="{00000000-0010-0000-0400-00000F000000}" name="15-mai" totalsRowFunction="sum" dataDxfId="710" totalsRowDxfId="709"/>
    <tableColumn id="16" xr3:uid="{00000000-0010-0000-0400-000010000000}" name="16-mai" totalsRowFunction="sum" dataDxfId="708" totalsRowDxfId="707"/>
    <tableColumn id="17" xr3:uid="{00000000-0010-0000-0400-000011000000}" name="17-mai" totalsRowFunction="sum" dataDxfId="706" totalsRowDxfId="705"/>
    <tableColumn id="18" xr3:uid="{00000000-0010-0000-0400-000012000000}" name="18-mai" totalsRowFunction="sum" dataDxfId="704" totalsRowDxfId="703"/>
    <tableColumn id="19" xr3:uid="{00000000-0010-0000-0400-000013000000}" name="19-mai" totalsRowFunction="sum" dataDxfId="702" totalsRowDxfId="701"/>
    <tableColumn id="20" xr3:uid="{00000000-0010-0000-0400-000014000000}" name="20-mai" totalsRowFunction="sum" dataDxfId="700" totalsRowDxfId="699"/>
    <tableColumn id="21" xr3:uid="{00000000-0010-0000-0400-000015000000}" name="21-mai" totalsRowFunction="sum" dataDxfId="698" totalsRowDxfId="697"/>
    <tableColumn id="22" xr3:uid="{00000000-0010-0000-0400-000016000000}" name="22-mai" totalsRowFunction="sum" dataDxfId="696" totalsRowDxfId="695"/>
    <tableColumn id="23" xr3:uid="{00000000-0010-0000-0400-000017000000}" name="23-mai" totalsRowFunction="sum" dataDxfId="694" totalsRowDxfId="693"/>
    <tableColumn id="24" xr3:uid="{00000000-0010-0000-0400-000018000000}" name="24-mai" totalsRowFunction="sum" dataDxfId="692" totalsRowDxfId="691"/>
    <tableColumn id="25" xr3:uid="{00000000-0010-0000-0400-000019000000}" name="25-mai" totalsRowFunction="sum" dataDxfId="690" totalsRowDxfId="689"/>
    <tableColumn id="26" xr3:uid="{00000000-0010-0000-0400-00001A000000}" name="26-mai" totalsRowFunction="sum" dataDxfId="688" totalsRowDxfId="687"/>
    <tableColumn id="27" xr3:uid="{00000000-0010-0000-0400-00001B000000}" name="27-mai" totalsRowFunction="sum" dataDxfId="686" totalsRowDxfId="685"/>
    <tableColumn id="28" xr3:uid="{00000000-0010-0000-0400-00001C000000}" name="28-mai" totalsRowFunction="sum" dataDxfId="684" totalsRowDxfId="683"/>
    <tableColumn id="29" xr3:uid="{00000000-0010-0000-0400-00001D000000}" name="29-mai" totalsRowFunction="sum" dataDxfId="682" totalsRowDxfId="681"/>
    <tableColumn id="30" xr3:uid="{00000000-0010-0000-0400-00001E000000}" name="30-mai" totalsRowFunction="sum" dataDxfId="680" totalsRowDxfId="679"/>
    <tableColumn id="31" xr3:uid="{00000000-0010-0000-0400-00001F000000}" name="31-mai" totalsRowFunction="sum" dataDxfId="678" totalsRowDxfId="677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17" displayName="Tabela17" ref="K11:AN28" totalsRowCount="1" headerRowDxfId="676" dataDxfId="675" totalsRowDxfId="673" tableBorderDxfId="674" headerRowCellStyle="Ênfase1">
  <tableColumns count="30">
    <tableColumn id="1" xr3:uid="{00000000-0010-0000-0500-000001000000}" name="1-jun" totalsRowFunction="sum" dataDxfId="672" totalsRowDxfId="671"/>
    <tableColumn id="2" xr3:uid="{00000000-0010-0000-0500-000002000000}" name="2-jun" totalsRowFunction="sum" dataDxfId="670" totalsRowDxfId="669"/>
    <tableColumn id="3" xr3:uid="{00000000-0010-0000-0500-000003000000}" name="3-jun" totalsRowFunction="sum" dataDxfId="668" totalsRowDxfId="667"/>
    <tableColumn id="4" xr3:uid="{00000000-0010-0000-0500-000004000000}" name="4-jun" totalsRowFunction="sum" dataDxfId="666" totalsRowDxfId="665"/>
    <tableColumn id="5" xr3:uid="{00000000-0010-0000-0500-000005000000}" name="5-jun" totalsRowFunction="sum" dataDxfId="664" totalsRowDxfId="663"/>
    <tableColumn id="6" xr3:uid="{00000000-0010-0000-0500-000006000000}" name="6-jun" totalsRowFunction="sum" dataDxfId="662" totalsRowDxfId="661"/>
    <tableColumn id="7" xr3:uid="{00000000-0010-0000-0500-000007000000}" name="7-jun" totalsRowFunction="sum" dataDxfId="660" totalsRowDxfId="659"/>
    <tableColumn id="8" xr3:uid="{00000000-0010-0000-0500-000008000000}" name="8-jun" totalsRowFunction="sum" dataDxfId="658" totalsRowDxfId="657"/>
    <tableColumn id="9" xr3:uid="{00000000-0010-0000-0500-000009000000}" name="9-jun" totalsRowFunction="sum" dataDxfId="656" totalsRowDxfId="655"/>
    <tableColumn id="10" xr3:uid="{00000000-0010-0000-0500-00000A000000}" name="10-jun" totalsRowFunction="sum" dataDxfId="654" totalsRowDxfId="653"/>
    <tableColumn id="11" xr3:uid="{00000000-0010-0000-0500-00000B000000}" name="11-jun" totalsRowFunction="sum" dataDxfId="652" totalsRowDxfId="651"/>
    <tableColumn id="12" xr3:uid="{00000000-0010-0000-0500-00000C000000}" name="12-jun" totalsRowFunction="sum" dataDxfId="650" totalsRowDxfId="649"/>
    <tableColumn id="13" xr3:uid="{00000000-0010-0000-0500-00000D000000}" name="13-jun" totalsRowFunction="sum" dataDxfId="648" totalsRowDxfId="647"/>
    <tableColumn id="14" xr3:uid="{00000000-0010-0000-0500-00000E000000}" name="14-jun" totalsRowFunction="sum" dataDxfId="646" totalsRowDxfId="645"/>
    <tableColumn id="15" xr3:uid="{00000000-0010-0000-0500-00000F000000}" name="15-jun" totalsRowFunction="sum" dataDxfId="644" totalsRowDxfId="643"/>
    <tableColumn id="16" xr3:uid="{00000000-0010-0000-0500-000010000000}" name="16-jun" totalsRowFunction="sum" dataDxfId="642" totalsRowDxfId="641"/>
    <tableColumn id="17" xr3:uid="{00000000-0010-0000-0500-000011000000}" name="17-jun" totalsRowFunction="sum" dataDxfId="640" totalsRowDxfId="639"/>
    <tableColumn id="18" xr3:uid="{00000000-0010-0000-0500-000012000000}" name="18-jun" totalsRowFunction="sum" dataDxfId="638" totalsRowDxfId="637"/>
    <tableColumn id="19" xr3:uid="{00000000-0010-0000-0500-000013000000}" name="19-jun" totalsRowFunction="sum" dataDxfId="636" totalsRowDxfId="635"/>
    <tableColumn id="20" xr3:uid="{00000000-0010-0000-0500-000014000000}" name="20-jun" totalsRowFunction="sum" dataDxfId="634" totalsRowDxfId="633"/>
    <tableColumn id="21" xr3:uid="{00000000-0010-0000-0500-000015000000}" name="21-jun" totalsRowFunction="sum" dataDxfId="632" totalsRowDxfId="631"/>
    <tableColumn id="22" xr3:uid="{00000000-0010-0000-0500-000016000000}" name="22-jun" totalsRowFunction="sum" dataDxfId="630" totalsRowDxfId="629"/>
    <tableColumn id="23" xr3:uid="{00000000-0010-0000-0500-000017000000}" name="23-jun" totalsRowFunction="sum" dataDxfId="628" totalsRowDxfId="627"/>
    <tableColumn id="24" xr3:uid="{00000000-0010-0000-0500-000018000000}" name="24-jun" totalsRowFunction="sum" dataDxfId="626" totalsRowDxfId="625"/>
    <tableColumn id="25" xr3:uid="{00000000-0010-0000-0500-000019000000}" name="25-jun" totalsRowFunction="sum" dataDxfId="624" totalsRowDxfId="623"/>
    <tableColumn id="26" xr3:uid="{00000000-0010-0000-0500-00001A000000}" name="26-jun" totalsRowFunction="sum" dataDxfId="622" totalsRowDxfId="621"/>
    <tableColumn id="27" xr3:uid="{00000000-0010-0000-0500-00001B000000}" name="27-jun" totalsRowFunction="sum" dataDxfId="620" totalsRowDxfId="619"/>
    <tableColumn id="28" xr3:uid="{00000000-0010-0000-0500-00001C000000}" name="28-jun" totalsRowFunction="sum" dataDxfId="618" totalsRowDxfId="617"/>
    <tableColumn id="29" xr3:uid="{00000000-0010-0000-0500-00001D000000}" name="29-jun" totalsRowFunction="sum" dataDxfId="616" totalsRowDxfId="615"/>
    <tableColumn id="30" xr3:uid="{00000000-0010-0000-0500-00001E000000}" name="30-jun" totalsRowFunction="sum" dataDxfId="614" totalsRowDxfId="613"/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18" displayName="Tabela18" ref="K11:AO28" totalsRowCount="1" headerRowDxfId="612" dataDxfId="611" totalsRowDxfId="609" tableBorderDxfId="610" headerRowCellStyle="Ênfase1">
  <tableColumns count="31">
    <tableColumn id="1" xr3:uid="{00000000-0010-0000-0600-000001000000}" name="1-jul" totalsRowFunction="sum" dataDxfId="608" totalsRowDxfId="607"/>
    <tableColumn id="2" xr3:uid="{00000000-0010-0000-0600-000002000000}" name="2-jul" totalsRowFunction="sum" dataDxfId="606" totalsRowDxfId="605"/>
    <tableColumn id="3" xr3:uid="{00000000-0010-0000-0600-000003000000}" name="3-jul" totalsRowFunction="sum" dataDxfId="604" totalsRowDxfId="603"/>
    <tableColumn id="4" xr3:uid="{00000000-0010-0000-0600-000004000000}" name="4-jul" totalsRowFunction="sum" dataDxfId="602" totalsRowDxfId="601"/>
    <tableColumn id="5" xr3:uid="{00000000-0010-0000-0600-000005000000}" name="5-jul" totalsRowFunction="sum" dataDxfId="600" totalsRowDxfId="599"/>
    <tableColumn id="6" xr3:uid="{00000000-0010-0000-0600-000006000000}" name="6-jul" totalsRowFunction="sum" dataDxfId="598" totalsRowDxfId="597"/>
    <tableColumn id="7" xr3:uid="{00000000-0010-0000-0600-000007000000}" name="7-jul" totalsRowFunction="sum" dataDxfId="596" totalsRowDxfId="595"/>
    <tableColumn id="8" xr3:uid="{00000000-0010-0000-0600-000008000000}" name="8-jul" totalsRowFunction="sum" dataDxfId="594" totalsRowDxfId="593"/>
    <tableColumn id="9" xr3:uid="{00000000-0010-0000-0600-000009000000}" name="9-jul" totalsRowFunction="sum" dataDxfId="592" totalsRowDxfId="591"/>
    <tableColumn id="10" xr3:uid="{00000000-0010-0000-0600-00000A000000}" name="10-jul" totalsRowFunction="sum" dataDxfId="590" totalsRowDxfId="589"/>
    <tableColumn id="11" xr3:uid="{00000000-0010-0000-0600-00000B000000}" name="11-jul" totalsRowFunction="sum" dataDxfId="588" totalsRowDxfId="587"/>
    <tableColumn id="12" xr3:uid="{00000000-0010-0000-0600-00000C000000}" name="12-jul" totalsRowFunction="sum" dataDxfId="586" totalsRowDxfId="585"/>
    <tableColumn id="13" xr3:uid="{00000000-0010-0000-0600-00000D000000}" name="13-jul" totalsRowFunction="sum" dataDxfId="584" totalsRowDxfId="583"/>
    <tableColumn id="14" xr3:uid="{00000000-0010-0000-0600-00000E000000}" name="14-jul" totalsRowFunction="sum" dataDxfId="582" totalsRowDxfId="581"/>
    <tableColumn id="15" xr3:uid="{00000000-0010-0000-0600-00000F000000}" name="15-jul" totalsRowFunction="sum" dataDxfId="580" totalsRowDxfId="579"/>
    <tableColumn id="16" xr3:uid="{00000000-0010-0000-0600-000010000000}" name="16-jul" totalsRowFunction="sum" dataDxfId="578" totalsRowDxfId="577"/>
    <tableColumn id="17" xr3:uid="{00000000-0010-0000-0600-000011000000}" name="17-jul" totalsRowFunction="sum" dataDxfId="576" totalsRowDxfId="575"/>
    <tableColumn id="18" xr3:uid="{00000000-0010-0000-0600-000012000000}" name="18-jul" totalsRowFunction="sum" dataDxfId="574" totalsRowDxfId="573"/>
    <tableColumn id="19" xr3:uid="{00000000-0010-0000-0600-000013000000}" name="19-jul" totalsRowFunction="sum" dataDxfId="572" totalsRowDxfId="571"/>
    <tableColumn id="20" xr3:uid="{00000000-0010-0000-0600-000014000000}" name="20-jul" totalsRowFunction="sum" dataDxfId="570" totalsRowDxfId="569"/>
    <tableColumn id="21" xr3:uid="{00000000-0010-0000-0600-000015000000}" name="21-jul" totalsRowFunction="sum" dataDxfId="568" totalsRowDxfId="567"/>
    <tableColumn id="22" xr3:uid="{00000000-0010-0000-0600-000016000000}" name="22-jul" totalsRowFunction="sum" dataDxfId="566" totalsRowDxfId="565"/>
    <tableColumn id="23" xr3:uid="{00000000-0010-0000-0600-000017000000}" name="23-jul" totalsRowFunction="sum" dataDxfId="564" totalsRowDxfId="563"/>
    <tableColumn id="24" xr3:uid="{00000000-0010-0000-0600-000018000000}" name="24-jul" totalsRowFunction="sum" dataDxfId="562" totalsRowDxfId="561"/>
    <tableColumn id="25" xr3:uid="{00000000-0010-0000-0600-000019000000}" name="25-jul" totalsRowFunction="sum" dataDxfId="560" totalsRowDxfId="559"/>
    <tableColumn id="26" xr3:uid="{00000000-0010-0000-0600-00001A000000}" name="26-jul" totalsRowFunction="sum" dataDxfId="558" totalsRowDxfId="557"/>
    <tableColumn id="27" xr3:uid="{00000000-0010-0000-0600-00001B000000}" name="27-jul" totalsRowFunction="sum" dataDxfId="556" totalsRowDxfId="555"/>
    <tableColumn id="28" xr3:uid="{00000000-0010-0000-0600-00001C000000}" name="28-jul" totalsRowFunction="sum" dataDxfId="554" totalsRowDxfId="553"/>
    <tableColumn id="29" xr3:uid="{00000000-0010-0000-0600-00001D000000}" name="29-jul" totalsRowFunction="sum" dataDxfId="552" totalsRowDxfId="551"/>
    <tableColumn id="30" xr3:uid="{00000000-0010-0000-0600-00001E000000}" name="30-jul" totalsRowFunction="sum" dataDxfId="550" totalsRowDxfId="549"/>
    <tableColumn id="31" xr3:uid="{00000000-0010-0000-0600-00001F000000}" name="31-jul" totalsRowFunction="sum" dataDxfId="548" totalsRowDxfId="547"/>
  </tableColumns>
  <tableStyleInfo name="TableStyleMedium2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19" displayName="Tabela19" ref="K11:AO28" totalsRowCount="1" headerRowDxfId="546" dataDxfId="545" totalsRowDxfId="543" tableBorderDxfId="544" headerRowCellStyle="Ênfase1">
  <tableColumns count="31">
    <tableColumn id="1" xr3:uid="{00000000-0010-0000-0700-000001000000}" name="1-ago" totalsRowFunction="sum" dataDxfId="542" totalsRowDxfId="541"/>
    <tableColumn id="2" xr3:uid="{00000000-0010-0000-0700-000002000000}" name="2-ago" totalsRowFunction="sum" dataDxfId="540" totalsRowDxfId="539"/>
    <tableColumn id="3" xr3:uid="{00000000-0010-0000-0700-000003000000}" name="3-ago" totalsRowFunction="sum" dataDxfId="538" totalsRowDxfId="537"/>
    <tableColumn id="4" xr3:uid="{00000000-0010-0000-0700-000004000000}" name="4-ago" totalsRowFunction="sum" dataDxfId="536" totalsRowDxfId="535"/>
    <tableColumn id="5" xr3:uid="{00000000-0010-0000-0700-000005000000}" name="5-ago" totalsRowFunction="sum" dataDxfId="534" totalsRowDxfId="533"/>
    <tableColumn id="6" xr3:uid="{00000000-0010-0000-0700-000006000000}" name="6-ago" totalsRowFunction="sum" dataDxfId="532" totalsRowDxfId="531"/>
    <tableColumn id="7" xr3:uid="{00000000-0010-0000-0700-000007000000}" name="7-ago" totalsRowFunction="sum" dataDxfId="530" totalsRowDxfId="529"/>
    <tableColumn id="8" xr3:uid="{00000000-0010-0000-0700-000008000000}" name="8-ago" totalsRowFunction="sum" dataDxfId="528" totalsRowDxfId="527"/>
    <tableColumn id="9" xr3:uid="{00000000-0010-0000-0700-000009000000}" name="9-ago" totalsRowFunction="sum" dataDxfId="526" totalsRowDxfId="525"/>
    <tableColumn id="10" xr3:uid="{00000000-0010-0000-0700-00000A000000}" name="10-ago" totalsRowFunction="sum" dataDxfId="524" totalsRowDxfId="523"/>
    <tableColumn id="11" xr3:uid="{00000000-0010-0000-0700-00000B000000}" name="11-ago" totalsRowFunction="sum" dataDxfId="522" totalsRowDxfId="521"/>
    <tableColumn id="12" xr3:uid="{00000000-0010-0000-0700-00000C000000}" name="12-ago" totalsRowFunction="sum" dataDxfId="520" totalsRowDxfId="519"/>
    <tableColumn id="13" xr3:uid="{00000000-0010-0000-0700-00000D000000}" name="13-ago" totalsRowFunction="sum" dataDxfId="518" totalsRowDxfId="517"/>
    <tableColumn id="14" xr3:uid="{00000000-0010-0000-0700-00000E000000}" name="14-ago" totalsRowFunction="sum" dataDxfId="516" totalsRowDxfId="515"/>
    <tableColumn id="15" xr3:uid="{00000000-0010-0000-0700-00000F000000}" name="15-ago" totalsRowFunction="sum" dataDxfId="514" totalsRowDxfId="513"/>
    <tableColumn id="16" xr3:uid="{00000000-0010-0000-0700-000010000000}" name="16-ago" totalsRowFunction="sum" dataDxfId="512" totalsRowDxfId="511"/>
    <tableColumn id="17" xr3:uid="{00000000-0010-0000-0700-000011000000}" name="17-ago" totalsRowFunction="sum" dataDxfId="510" totalsRowDxfId="509"/>
    <tableColumn id="18" xr3:uid="{00000000-0010-0000-0700-000012000000}" name="18-ago" totalsRowFunction="sum" dataDxfId="508" totalsRowDxfId="507"/>
    <tableColumn id="19" xr3:uid="{00000000-0010-0000-0700-000013000000}" name="19-ago" totalsRowFunction="sum" dataDxfId="506" totalsRowDxfId="505"/>
    <tableColumn id="20" xr3:uid="{00000000-0010-0000-0700-000014000000}" name="20-ago" totalsRowFunction="sum" dataDxfId="504" totalsRowDxfId="503"/>
    <tableColumn id="21" xr3:uid="{00000000-0010-0000-0700-000015000000}" name="21-ago" totalsRowFunction="sum" dataDxfId="502" totalsRowDxfId="501"/>
    <tableColumn id="22" xr3:uid="{00000000-0010-0000-0700-000016000000}" name="22-ago" totalsRowFunction="sum" dataDxfId="500" totalsRowDxfId="499"/>
    <tableColumn id="23" xr3:uid="{00000000-0010-0000-0700-000017000000}" name="23-ago" totalsRowFunction="sum" dataDxfId="498" totalsRowDxfId="497"/>
    <tableColumn id="24" xr3:uid="{00000000-0010-0000-0700-000018000000}" name="24-ago" totalsRowFunction="sum" dataDxfId="496" totalsRowDxfId="495"/>
    <tableColumn id="25" xr3:uid="{00000000-0010-0000-0700-000019000000}" name="25-ago" totalsRowFunction="sum" dataDxfId="494" totalsRowDxfId="493"/>
    <tableColumn id="26" xr3:uid="{00000000-0010-0000-0700-00001A000000}" name="26-ago" totalsRowFunction="sum" dataDxfId="492" totalsRowDxfId="491"/>
    <tableColumn id="27" xr3:uid="{00000000-0010-0000-0700-00001B000000}" name="27-ago" totalsRowFunction="sum" dataDxfId="490" totalsRowDxfId="489"/>
    <tableColumn id="28" xr3:uid="{00000000-0010-0000-0700-00001C000000}" name="28-ago" totalsRowFunction="sum" dataDxfId="488" totalsRowDxfId="487"/>
    <tableColumn id="29" xr3:uid="{00000000-0010-0000-0700-00001D000000}" name="29-ago" totalsRowFunction="sum" dataDxfId="486" totalsRowDxfId="485"/>
    <tableColumn id="30" xr3:uid="{00000000-0010-0000-0700-00001E000000}" name="30-ago" totalsRowFunction="sum" dataDxfId="484" totalsRowDxfId="483"/>
    <tableColumn id="31" xr3:uid="{00000000-0010-0000-0700-00001F000000}" name="31-ago" totalsRowFunction="sum" dataDxfId="482" totalsRowDxfId="481"/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ela110" displayName="Tabela110" ref="K11:AN28" totalsRowCount="1" headerRowDxfId="480" dataDxfId="479" totalsRowDxfId="477" tableBorderDxfId="478" headerRowCellStyle="Ênfase1">
  <tableColumns count="30">
    <tableColumn id="1" xr3:uid="{00000000-0010-0000-0800-000001000000}" name="1-set" totalsRowFunction="sum" dataDxfId="476" totalsRowDxfId="475"/>
    <tableColumn id="2" xr3:uid="{00000000-0010-0000-0800-000002000000}" name="2-set" totalsRowFunction="sum" dataDxfId="474" totalsRowDxfId="473"/>
    <tableColumn id="3" xr3:uid="{00000000-0010-0000-0800-000003000000}" name="3-set" totalsRowFunction="sum" dataDxfId="472" totalsRowDxfId="471"/>
    <tableColumn id="4" xr3:uid="{00000000-0010-0000-0800-000004000000}" name="4-set" totalsRowFunction="sum" dataDxfId="470" totalsRowDxfId="469"/>
    <tableColumn id="5" xr3:uid="{00000000-0010-0000-0800-000005000000}" name="5-set" totalsRowFunction="sum" dataDxfId="468" totalsRowDxfId="467"/>
    <tableColumn id="6" xr3:uid="{00000000-0010-0000-0800-000006000000}" name="6-set" totalsRowFunction="sum" dataDxfId="466" totalsRowDxfId="465"/>
    <tableColumn id="7" xr3:uid="{00000000-0010-0000-0800-000007000000}" name="7-set" totalsRowFunction="sum" dataDxfId="464" totalsRowDxfId="463"/>
    <tableColumn id="8" xr3:uid="{00000000-0010-0000-0800-000008000000}" name="8-set" totalsRowFunction="sum" dataDxfId="462" totalsRowDxfId="461"/>
    <tableColumn id="9" xr3:uid="{00000000-0010-0000-0800-000009000000}" name="9-set" totalsRowFunction="sum" dataDxfId="460" totalsRowDxfId="459"/>
    <tableColumn id="10" xr3:uid="{00000000-0010-0000-0800-00000A000000}" name="10-set" totalsRowFunction="sum" dataDxfId="458" totalsRowDxfId="457"/>
    <tableColumn id="11" xr3:uid="{00000000-0010-0000-0800-00000B000000}" name="11-set" totalsRowFunction="sum" dataDxfId="456" totalsRowDxfId="455"/>
    <tableColumn id="12" xr3:uid="{00000000-0010-0000-0800-00000C000000}" name="12-set" totalsRowFunction="sum" dataDxfId="454" totalsRowDxfId="453"/>
    <tableColumn id="13" xr3:uid="{00000000-0010-0000-0800-00000D000000}" name="13-set" totalsRowFunction="sum" dataDxfId="452" totalsRowDxfId="451"/>
    <tableColumn id="14" xr3:uid="{00000000-0010-0000-0800-00000E000000}" name="14-set" totalsRowFunction="sum" dataDxfId="450" totalsRowDxfId="449"/>
    <tableColumn id="15" xr3:uid="{00000000-0010-0000-0800-00000F000000}" name="15-set" totalsRowFunction="sum" dataDxfId="448" totalsRowDxfId="447"/>
    <tableColumn id="16" xr3:uid="{00000000-0010-0000-0800-000010000000}" name="16-set" totalsRowFunction="sum" dataDxfId="446" totalsRowDxfId="445"/>
    <tableColumn id="17" xr3:uid="{00000000-0010-0000-0800-000011000000}" name="17-set" totalsRowFunction="sum" dataDxfId="444" totalsRowDxfId="443"/>
    <tableColumn id="18" xr3:uid="{00000000-0010-0000-0800-000012000000}" name="18-set" totalsRowFunction="sum" dataDxfId="442" totalsRowDxfId="441"/>
    <tableColumn id="19" xr3:uid="{00000000-0010-0000-0800-000013000000}" name="19-set" totalsRowFunction="sum" dataDxfId="440" totalsRowDxfId="439"/>
    <tableColumn id="20" xr3:uid="{00000000-0010-0000-0800-000014000000}" name="20-set" totalsRowFunction="sum" dataDxfId="438" totalsRowDxfId="437"/>
    <tableColumn id="21" xr3:uid="{00000000-0010-0000-0800-000015000000}" name="21-set" totalsRowFunction="sum" dataDxfId="436" totalsRowDxfId="435"/>
    <tableColumn id="22" xr3:uid="{00000000-0010-0000-0800-000016000000}" name="22-set" totalsRowFunction="sum" dataDxfId="434" totalsRowDxfId="433"/>
    <tableColumn id="23" xr3:uid="{00000000-0010-0000-0800-000017000000}" name="23-set" totalsRowFunction="sum" dataDxfId="432" totalsRowDxfId="431"/>
    <tableColumn id="24" xr3:uid="{00000000-0010-0000-0800-000018000000}" name="24-set" totalsRowFunction="sum" dataDxfId="430" totalsRowDxfId="429"/>
    <tableColumn id="25" xr3:uid="{00000000-0010-0000-0800-000019000000}" name="25-set" totalsRowFunction="sum" dataDxfId="428" totalsRowDxfId="427"/>
    <tableColumn id="26" xr3:uid="{00000000-0010-0000-0800-00001A000000}" name="26-set" totalsRowFunction="sum" dataDxfId="426" totalsRowDxfId="425"/>
    <tableColumn id="27" xr3:uid="{00000000-0010-0000-0800-00001B000000}" name="27-set" totalsRowFunction="sum" dataDxfId="424" totalsRowDxfId="423"/>
    <tableColumn id="28" xr3:uid="{00000000-0010-0000-0800-00001C000000}" name="28-set" totalsRowFunction="sum" dataDxfId="422" totalsRowDxfId="421"/>
    <tableColumn id="29" xr3:uid="{00000000-0010-0000-0800-00001D000000}" name="29-set" totalsRowFunction="sum" dataDxfId="420" totalsRowDxfId="419"/>
    <tableColumn id="30" xr3:uid="{00000000-0010-0000-0800-00001E000000}" name="30-set" totalsRowFunction="sum" dataDxfId="418" totalsRowDxfId="417"/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ela111" displayName="Tabela111" ref="K11:AO28" totalsRowCount="1" headerRowDxfId="416" dataDxfId="415" totalsRowDxfId="413" tableBorderDxfId="414" headerRowCellStyle="Ênfase1">
  <tableColumns count="31">
    <tableColumn id="1" xr3:uid="{00000000-0010-0000-0900-000001000000}" name="1-out" totalsRowFunction="sum" dataDxfId="412" totalsRowDxfId="411"/>
    <tableColumn id="2" xr3:uid="{00000000-0010-0000-0900-000002000000}" name="2-out" totalsRowFunction="sum" dataDxfId="410" totalsRowDxfId="409"/>
    <tableColumn id="3" xr3:uid="{00000000-0010-0000-0900-000003000000}" name="3-out" totalsRowFunction="sum" dataDxfId="408" totalsRowDxfId="407"/>
    <tableColumn id="4" xr3:uid="{00000000-0010-0000-0900-000004000000}" name="4-out" totalsRowFunction="sum" dataDxfId="406" totalsRowDxfId="405"/>
    <tableColumn id="5" xr3:uid="{00000000-0010-0000-0900-000005000000}" name="5-out" totalsRowFunction="sum" dataDxfId="404" totalsRowDxfId="403"/>
    <tableColumn id="6" xr3:uid="{00000000-0010-0000-0900-000006000000}" name="6-out" totalsRowFunction="sum" dataDxfId="402" totalsRowDxfId="401"/>
    <tableColumn id="7" xr3:uid="{00000000-0010-0000-0900-000007000000}" name="7-out" totalsRowFunction="sum" dataDxfId="400" totalsRowDxfId="399"/>
    <tableColumn id="8" xr3:uid="{00000000-0010-0000-0900-000008000000}" name="8-out" totalsRowFunction="sum" dataDxfId="398" totalsRowDxfId="397"/>
    <tableColumn id="9" xr3:uid="{00000000-0010-0000-0900-000009000000}" name="9-out" totalsRowFunction="sum" dataDxfId="396" totalsRowDxfId="395"/>
    <tableColumn id="10" xr3:uid="{00000000-0010-0000-0900-00000A000000}" name="10-out" totalsRowFunction="sum" dataDxfId="394" totalsRowDxfId="393"/>
    <tableColumn id="11" xr3:uid="{00000000-0010-0000-0900-00000B000000}" name="11-out" totalsRowFunction="sum" dataDxfId="392" totalsRowDxfId="391"/>
    <tableColumn id="12" xr3:uid="{00000000-0010-0000-0900-00000C000000}" name="12-out" totalsRowFunction="sum" dataDxfId="390" totalsRowDxfId="389"/>
    <tableColumn id="13" xr3:uid="{00000000-0010-0000-0900-00000D000000}" name="13-out" totalsRowFunction="sum" dataDxfId="388" totalsRowDxfId="387"/>
    <tableColumn id="14" xr3:uid="{00000000-0010-0000-0900-00000E000000}" name="14-out" totalsRowFunction="sum" dataDxfId="386" totalsRowDxfId="385"/>
    <tableColumn id="15" xr3:uid="{00000000-0010-0000-0900-00000F000000}" name="15-out" totalsRowFunction="sum" dataDxfId="384" totalsRowDxfId="383"/>
    <tableColumn id="16" xr3:uid="{00000000-0010-0000-0900-000010000000}" name="16-out" totalsRowFunction="sum" dataDxfId="382" totalsRowDxfId="381"/>
    <tableColumn id="17" xr3:uid="{00000000-0010-0000-0900-000011000000}" name="17-out" totalsRowFunction="sum" dataDxfId="380" totalsRowDxfId="379"/>
    <tableColumn id="18" xr3:uid="{00000000-0010-0000-0900-000012000000}" name="18-out" totalsRowFunction="sum" dataDxfId="378" totalsRowDxfId="377"/>
    <tableColumn id="19" xr3:uid="{00000000-0010-0000-0900-000013000000}" name="19-out" totalsRowFunction="sum" dataDxfId="376" totalsRowDxfId="375"/>
    <tableColumn id="20" xr3:uid="{00000000-0010-0000-0900-000014000000}" name="20-out" totalsRowFunction="sum" dataDxfId="374" totalsRowDxfId="373"/>
    <tableColumn id="21" xr3:uid="{00000000-0010-0000-0900-000015000000}" name="21-out" totalsRowFunction="sum" dataDxfId="372" totalsRowDxfId="371"/>
    <tableColumn id="22" xr3:uid="{00000000-0010-0000-0900-000016000000}" name="22-out" totalsRowFunction="sum" dataDxfId="370" totalsRowDxfId="369"/>
    <tableColumn id="23" xr3:uid="{00000000-0010-0000-0900-000017000000}" name="23-out" totalsRowFunction="sum" dataDxfId="368" totalsRowDxfId="367"/>
    <tableColumn id="24" xr3:uid="{00000000-0010-0000-0900-000018000000}" name="24-out" totalsRowFunction="sum" dataDxfId="366" totalsRowDxfId="365"/>
    <tableColumn id="25" xr3:uid="{00000000-0010-0000-0900-000019000000}" name="25-out" totalsRowFunction="sum" dataDxfId="364" totalsRowDxfId="363"/>
    <tableColumn id="26" xr3:uid="{00000000-0010-0000-0900-00001A000000}" name="26-out" totalsRowFunction="sum" dataDxfId="362" totalsRowDxfId="361"/>
    <tableColumn id="27" xr3:uid="{00000000-0010-0000-0900-00001B000000}" name="27-out" totalsRowFunction="sum" dataDxfId="360" totalsRowDxfId="359"/>
    <tableColumn id="28" xr3:uid="{00000000-0010-0000-0900-00001C000000}" name="28-out" totalsRowFunction="sum" dataDxfId="358" totalsRowDxfId="357"/>
    <tableColumn id="29" xr3:uid="{00000000-0010-0000-0900-00001D000000}" name="29-out" totalsRowFunction="sum" dataDxfId="356" totalsRowDxfId="355"/>
    <tableColumn id="30" xr3:uid="{00000000-0010-0000-0900-00001E000000}" name="30-out" totalsRowFunction="sum" dataDxfId="354" totalsRowDxfId="353"/>
    <tableColumn id="31" xr3:uid="{00000000-0010-0000-0900-00001F000000}" name="31-out" totalsRowFunction="sum" dataDxfId="352" totalsRowDxfId="351"/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ela112" displayName="Tabela112" ref="K11:AN28" totalsRowCount="1" headerRowDxfId="350" dataDxfId="349" totalsRowDxfId="347" tableBorderDxfId="348" headerRowCellStyle="Ênfase1">
  <tableColumns count="30">
    <tableColumn id="1" xr3:uid="{00000000-0010-0000-0A00-000001000000}" name="1-nov" totalsRowFunction="sum" dataDxfId="346" totalsRowDxfId="345"/>
    <tableColumn id="2" xr3:uid="{00000000-0010-0000-0A00-000002000000}" name="2-nov" totalsRowFunction="sum" dataDxfId="344" totalsRowDxfId="343"/>
    <tableColumn id="3" xr3:uid="{00000000-0010-0000-0A00-000003000000}" name="3-nov" totalsRowFunction="sum" dataDxfId="342" totalsRowDxfId="341"/>
    <tableColumn id="4" xr3:uid="{00000000-0010-0000-0A00-000004000000}" name="4-nov" totalsRowFunction="sum" dataDxfId="340" totalsRowDxfId="339"/>
    <tableColumn id="5" xr3:uid="{00000000-0010-0000-0A00-000005000000}" name="5-nov" totalsRowFunction="sum" dataDxfId="338" totalsRowDxfId="337"/>
    <tableColumn id="6" xr3:uid="{00000000-0010-0000-0A00-000006000000}" name="6-nov" totalsRowFunction="sum" dataDxfId="336" totalsRowDxfId="335"/>
    <tableColumn id="7" xr3:uid="{00000000-0010-0000-0A00-000007000000}" name="7-nov" totalsRowFunction="sum" dataDxfId="334" totalsRowDxfId="333"/>
    <tableColumn id="8" xr3:uid="{00000000-0010-0000-0A00-000008000000}" name="8-nov" totalsRowFunction="sum" dataDxfId="332" totalsRowDxfId="331"/>
    <tableColumn id="9" xr3:uid="{00000000-0010-0000-0A00-000009000000}" name="9-nov" totalsRowFunction="sum" dataDxfId="330" totalsRowDxfId="329"/>
    <tableColumn id="10" xr3:uid="{00000000-0010-0000-0A00-00000A000000}" name="10-nov" totalsRowFunction="sum" dataDxfId="328" totalsRowDxfId="327"/>
    <tableColumn id="11" xr3:uid="{00000000-0010-0000-0A00-00000B000000}" name="11-nov" totalsRowFunction="sum" dataDxfId="326" totalsRowDxfId="325"/>
    <tableColumn id="12" xr3:uid="{00000000-0010-0000-0A00-00000C000000}" name="12-nov" totalsRowFunction="sum" dataDxfId="324" totalsRowDxfId="323"/>
    <tableColumn id="13" xr3:uid="{00000000-0010-0000-0A00-00000D000000}" name="13-nov" totalsRowFunction="sum" dataDxfId="322" totalsRowDxfId="321"/>
    <tableColumn id="14" xr3:uid="{00000000-0010-0000-0A00-00000E000000}" name="14-nov" totalsRowFunction="sum" dataDxfId="320" totalsRowDxfId="319"/>
    <tableColumn id="15" xr3:uid="{00000000-0010-0000-0A00-00000F000000}" name="15-nov" totalsRowFunction="sum" dataDxfId="318" totalsRowDxfId="317"/>
    <tableColumn id="16" xr3:uid="{00000000-0010-0000-0A00-000010000000}" name="16-nov" totalsRowFunction="sum" dataDxfId="316" totalsRowDxfId="315"/>
    <tableColumn id="17" xr3:uid="{00000000-0010-0000-0A00-000011000000}" name="17-nov" totalsRowFunction="sum" dataDxfId="314" totalsRowDxfId="313"/>
    <tableColumn id="18" xr3:uid="{00000000-0010-0000-0A00-000012000000}" name="18-nov" totalsRowFunction="sum" dataDxfId="312" totalsRowDxfId="311"/>
    <tableColumn id="19" xr3:uid="{00000000-0010-0000-0A00-000013000000}" name="19-nov" totalsRowFunction="sum" dataDxfId="310" totalsRowDxfId="309"/>
    <tableColumn id="20" xr3:uid="{00000000-0010-0000-0A00-000014000000}" name="20-nov" totalsRowFunction="sum" dataDxfId="308" totalsRowDxfId="307"/>
    <tableColumn id="21" xr3:uid="{00000000-0010-0000-0A00-000015000000}" name="21-nov" totalsRowFunction="sum" dataDxfId="306" totalsRowDxfId="305"/>
    <tableColumn id="22" xr3:uid="{00000000-0010-0000-0A00-000016000000}" name="22-nov" totalsRowFunction="sum" dataDxfId="304" totalsRowDxfId="303"/>
    <tableColumn id="23" xr3:uid="{00000000-0010-0000-0A00-000017000000}" name="23-nov" totalsRowFunction="sum" dataDxfId="302" totalsRowDxfId="301"/>
    <tableColumn id="24" xr3:uid="{00000000-0010-0000-0A00-000018000000}" name="24-nov" totalsRowFunction="sum" dataDxfId="300" totalsRowDxfId="299"/>
    <tableColumn id="25" xr3:uid="{00000000-0010-0000-0A00-000019000000}" name="25-nov" totalsRowFunction="sum" dataDxfId="298" totalsRowDxfId="297"/>
    <tableColumn id="26" xr3:uid="{00000000-0010-0000-0A00-00001A000000}" name="26-nov" totalsRowFunction="sum" dataDxfId="296" totalsRowDxfId="295"/>
    <tableColumn id="27" xr3:uid="{00000000-0010-0000-0A00-00001B000000}" name="27-nov" totalsRowFunction="sum" dataDxfId="294" totalsRowDxfId="293"/>
    <tableColumn id="28" xr3:uid="{00000000-0010-0000-0A00-00001C000000}" name="28-nov" totalsRowFunction="sum" dataDxfId="292" totalsRowDxfId="291"/>
    <tableColumn id="29" xr3:uid="{00000000-0010-0000-0A00-00001D000000}" name="29-nov" totalsRowFunction="sum" dataDxfId="290" totalsRowDxfId="289"/>
    <tableColumn id="30" xr3:uid="{00000000-0010-0000-0A00-00001E000000}" name="30-nov" totalsRowFunction="sum" dataDxfId="288" totalsRowDxfId="287"/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ela113" displayName="Tabela113" ref="K11:AO28" totalsRowCount="1" headerRowDxfId="286" dataDxfId="285" totalsRowDxfId="283" tableBorderDxfId="284" headerRowCellStyle="Ênfase1">
  <tableColumns count="31">
    <tableColumn id="1" xr3:uid="{00000000-0010-0000-0B00-000001000000}" name="1-dez" totalsRowFunction="sum" dataDxfId="282" totalsRowDxfId="281"/>
    <tableColumn id="2" xr3:uid="{00000000-0010-0000-0B00-000002000000}" name="2-dez" totalsRowFunction="sum" dataDxfId="280" totalsRowDxfId="279"/>
    <tableColumn id="3" xr3:uid="{00000000-0010-0000-0B00-000003000000}" name="3-dez" totalsRowFunction="sum" dataDxfId="278" totalsRowDxfId="277"/>
    <tableColumn id="4" xr3:uid="{00000000-0010-0000-0B00-000004000000}" name="4-dez" totalsRowFunction="sum" dataDxfId="276" totalsRowDxfId="275"/>
    <tableColumn id="5" xr3:uid="{00000000-0010-0000-0B00-000005000000}" name="5-dez" totalsRowFunction="sum" dataDxfId="274" totalsRowDxfId="273"/>
    <tableColumn id="6" xr3:uid="{00000000-0010-0000-0B00-000006000000}" name="6-dez" totalsRowFunction="sum" dataDxfId="272" totalsRowDxfId="271"/>
    <tableColumn id="7" xr3:uid="{00000000-0010-0000-0B00-000007000000}" name="7-dez" totalsRowFunction="sum" dataDxfId="270" totalsRowDxfId="269"/>
    <tableColumn id="8" xr3:uid="{00000000-0010-0000-0B00-000008000000}" name="8-dez" totalsRowFunction="sum" dataDxfId="268" totalsRowDxfId="267"/>
    <tableColumn id="9" xr3:uid="{00000000-0010-0000-0B00-000009000000}" name="9-dez" totalsRowFunction="sum" dataDxfId="266" totalsRowDxfId="265"/>
    <tableColumn id="10" xr3:uid="{00000000-0010-0000-0B00-00000A000000}" name="10-dez" totalsRowFunction="sum" dataDxfId="264" totalsRowDxfId="263"/>
    <tableColumn id="11" xr3:uid="{00000000-0010-0000-0B00-00000B000000}" name="11-dez" totalsRowFunction="sum" dataDxfId="262" totalsRowDxfId="261"/>
    <tableColumn id="12" xr3:uid="{00000000-0010-0000-0B00-00000C000000}" name="12-dez" totalsRowFunction="sum" dataDxfId="260" totalsRowDxfId="259"/>
    <tableColumn id="13" xr3:uid="{00000000-0010-0000-0B00-00000D000000}" name="13-dez" totalsRowFunction="sum" dataDxfId="258" totalsRowDxfId="257"/>
    <tableColumn id="14" xr3:uid="{00000000-0010-0000-0B00-00000E000000}" name="14-dez" totalsRowFunction="sum" dataDxfId="256" totalsRowDxfId="255"/>
    <tableColumn id="15" xr3:uid="{00000000-0010-0000-0B00-00000F000000}" name="15-dez" totalsRowFunction="sum" dataDxfId="254" totalsRowDxfId="253"/>
    <tableColumn id="16" xr3:uid="{00000000-0010-0000-0B00-000010000000}" name="16-dez" totalsRowFunction="sum" dataDxfId="252" totalsRowDxfId="251"/>
    <tableColumn id="17" xr3:uid="{00000000-0010-0000-0B00-000011000000}" name="17-dez" totalsRowFunction="sum" dataDxfId="250" totalsRowDxfId="249"/>
    <tableColumn id="18" xr3:uid="{00000000-0010-0000-0B00-000012000000}" name="18-dez" totalsRowFunction="sum" dataDxfId="248" totalsRowDxfId="247"/>
    <tableColumn id="19" xr3:uid="{00000000-0010-0000-0B00-000013000000}" name="19-dez" totalsRowFunction="sum" dataDxfId="246" totalsRowDxfId="245"/>
    <tableColumn id="20" xr3:uid="{00000000-0010-0000-0B00-000014000000}" name="20-dez" totalsRowFunction="sum" dataDxfId="244" totalsRowDxfId="243"/>
    <tableColumn id="21" xr3:uid="{00000000-0010-0000-0B00-000015000000}" name="21-dez" totalsRowFunction="sum" dataDxfId="242" totalsRowDxfId="241"/>
    <tableColumn id="22" xr3:uid="{00000000-0010-0000-0B00-000016000000}" name="22-dez" totalsRowFunction="sum" dataDxfId="240" totalsRowDxfId="239"/>
    <tableColumn id="23" xr3:uid="{00000000-0010-0000-0B00-000017000000}" name="23-dez" totalsRowFunction="sum" dataDxfId="238" totalsRowDxfId="237"/>
    <tableColumn id="24" xr3:uid="{00000000-0010-0000-0B00-000018000000}" name="24-dez" totalsRowFunction="sum" dataDxfId="236" totalsRowDxfId="235"/>
    <tableColumn id="25" xr3:uid="{00000000-0010-0000-0B00-000019000000}" name="25-dez" totalsRowFunction="sum" dataDxfId="234" totalsRowDxfId="233"/>
    <tableColumn id="26" xr3:uid="{00000000-0010-0000-0B00-00001A000000}" name="26-dez" totalsRowFunction="sum" dataDxfId="232" totalsRowDxfId="231"/>
    <tableColumn id="27" xr3:uid="{00000000-0010-0000-0B00-00001B000000}" name="27-dez" totalsRowFunction="sum" dataDxfId="230" totalsRowDxfId="229"/>
    <tableColumn id="28" xr3:uid="{00000000-0010-0000-0B00-00001C000000}" name="28-dez" totalsRowFunction="sum" dataDxfId="228" totalsRowDxfId="227"/>
    <tableColumn id="29" xr3:uid="{00000000-0010-0000-0B00-00001D000000}" name="29-dez" totalsRowFunction="sum" dataDxfId="226" totalsRowDxfId="225"/>
    <tableColumn id="30" xr3:uid="{00000000-0010-0000-0B00-00001E000000}" name="30-dez" totalsRowFunction="sum" dataDxfId="224" totalsRowDxfId="223"/>
    <tableColumn id="31" xr3:uid="{00000000-0010-0000-0B00-00001F000000}" name="31-dez" totalsRowFunction="sum" dataDxfId="222" totalsRowDxfId="221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?gl=BR&amp;hl=pt" TargetMode="External"/><Relationship Id="rId7" Type="http://schemas.openxmlformats.org/officeDocument/2006/relationships/comments" Target="../comments1.xml"/><Relationship Id="rId2" Type="http://schemas.openxmlformats.org/officeDocument/2006/relationships/hyperlink" Target="https://www.google.com.br/" TargetMode="External"/><Relationship Id="rId1" Type="http://schemas.openxmlformats.org/officeDocument/2006/relationships/hyperlink" Target="https://www.gabarite.com.br/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gabarite.com.br/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?gl=BR&amp;hl=pt" TargetMode="External"/><Relationship Id="rId7" Type="http://schemas.openxmlformats.org/officeDocument/2006/relationships/comments" Target="../comments4.xml"/><Relationship Id="rId2" Type="http://schemas.openxmlformats.org/officeDocument/2006/relationships/hyperlink" Target="https://www.google.com.br/" TargetMode="External"/><Relationship Id="rId1" Type="http://schemas.openxmlformats.org/officeDocument/2006/relationships/hyperlink" Target="https://www.gabarite.com.br/" TargetMode="External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8.xml"/><Relationship Id="rId4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?gl=BR&amp;hl=pt" TargetMode="External"/><Relationship Id="rId2" Type="http://schemas.openxmlformats.org/officeDocument/2006/relationships/hyperlink" Target="https://www.google.com.br/" TargetMode="External"/><Relationship Id="rId1" Type="http://schemas.openxmlformats.org/officeDocument/2006/relationships/hyperlink" Target="https://www.gabarite.com.br/" TargetMode="External"/><Relationship Id="rId6" Type="http://schemas.openxmlformats.org/officeDocument/2006/relationships/comments" Target="../comments5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?gl=BR&amp;hl=pt" TargetMode="External"/><Relationship Id="rId2" Type="http://schemas.openxmlformats.org/officeDocument/2006/relationships/hyperlink" Target="https://www.google.com.br/" TargetMode="External"/><Relationship Id="rId1" Type="http://schemas.openxmlformats.org/officeDocument/2006/relationships/hyperlink" Target="https://www.gabarite.com.br/" TargetMode="External"/><Relationship Id="rId6" Type="http://schemas.openxmlformats.org/officeDocument/2006/relationships/comments" Target="../comments6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?gl=BR&amp;hl=pt" TargetMode="External"/><Relationship Id="rId2" Type="http://schemas.openxmlformats.org/officeDocument/2006/relationships/hyperlink" Target="https://www.google.com.br/" TargetMode="External"/><Relationship Id="rId1" Type="http://schemas.openxmlformats.org/officeDocument/2006/relationships/hyperlink" Target="https://www.gabarite.com.br/" TargetMode="External"/><Relationship Id="rId6" Type="http://schemas.openxmlformats.org/officeDocument/2006/relationships/comments" Target="../comments7.xml"/><Relationship Id="rId5" Type="http://schemas.openxmlformats.org/officeDocument/2006/relationships/vmlDrawing" Target="../drawings/vmlDrawing7.vml"/><Relationship Id="rId4" Type="http://schemas.openxmlformats.org/officeDocument/2006/relationships/drawing" Target="../drawings/drawing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?gl=BR&amp;hl=pt" TargetMode="External"/><Relationship Id="rId2" Type="http://schemas.openxmlformats.org/officeDocument/2006/relationships/hyperlink" Target="https://www.google.com.br/" TargetMode="External"/><Relationship Id="rId1" Type="http://schemas.openxmlformats.org/officeDocument/2006/relationships/hyperlink" Target="https://www.gabarite.com.br/" TargetMode="External"/><Relationship Id="rId6" Type="http://schemas.openxmlformats.org/officeDocument/2006/relationships/comments" Target="../comments8.xml"/><Relationship Id="rId5" Type="http://schemas.openxmlformats.org/officeDocument/2006/relationships/vmlDrawing" Target="../drawings/vmlDrawing8.vml"/><Relationship Id="rId4" Type="http://schemas.openxmlformats.org/officeDocument/2006/relationships/drawing" Target="../drawings/drawing1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?gl=BR&amp;hl=pt" TargetMode="External"/><Relationship Id="rId2" Type="http://schemas.openxmlformats.org/officeDocument/2006/relationships/hyperlink" Target="https://www.google.com.br/" TargetMode="External"/><Relationship Id="rId1" Type="http://schemas.openxmlformats.org/officeDocument/2006/relationships/hyperlink" Target="https://www.gabarite.com.br/" TargetMode="External"/><Relationship Id="rId6" Type="http://schemas.openxmlformats.org/officeDocument/2006/relationships/comments" Target="../comments9.xml"/><Relationship Id="rId5" Type="http://schemas.openxmlformats.org/officeDocument/2006/relationships/vmlDrawing" Target="../drawings/vmlDrawing9.vml"/><Relationship Id="rId4" Type="http://schemas.openxmlformats.org/officeDocument/2006/relationships/drawing" Target="../drawings/drawing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?gl=BR&amp;hl=pt" TargetMode="External"/><Relationship Id="rId2" Type="http://schemas.openxmlformats.org/officeDocument/2006/relationships/hyperlink" Target="https://www.google.com.br/" TargetMode="External"/><Relationship Id="rId1" Type="http://schemas.openxmlformats.org/officeDocument/2006/relationships/hyperlink" Target="https://www.gabarite.com.br/" TargetMode="External"/><Relationship Id="rId6" Type="http://schemas.openxmlformats.org/officeDocument/2006/relationships/comments" Target="../comments10.xml"/><Relationship Id="rId5" Type="http://schemas.openxmlformats.org/officeDocument/2006/relationships/vmlDrawing" Target="../drawings/vmlDrawing10.vml"/><Relationship Id="rId4" Type="http://schemas.openxmlformats.org/officeDocument/2006/relationships/drawing" Target="../drawings/drawing1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?gl=BR&amp;hl=pt" TargetMode="External"/><Relationship Id="rId2" Type="http://schemas.openxmlformats.org/officeDocument/2006/relationships/hyperlink" Target="https://www.google.com.br/" TargetMode="External"/><Relationship Id="rId1" Type="http://schemas.openxmlformats.org/officeDocument/2006/relationships/hyperlink" Target="https://www.gabarite.com.br/" TargetMode="External"/><Relationship Id="rId6" Type="http://schemas.openxmlformats.org/officeDocument/2006/relationships/comments" Target="../comments11.xml"/><Relationship Id="rId5" Type="http://schemas.openxmlformats.org/officeDocument/2006/relationships/vmlDrawing" Target="../drawings/vmlDrawing11.vml"/><Relationship Id="rId4" Type="http://schemas.openxmlformats.org/officeDocument/2006/relationships/drawing" Target="../drawings/drawing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?gl=BR&amp;hl=pt" TargetMode="External"/><Relationship Id="rId2" Type="http://schemas.openxmlformats.org/officeDocument/2006/relationships/hyperlink" Target="https://www.google.com.br/" TargetMode="External"/><Relationship Id="rId1" Type="http://schemas.openxmlformats.org/officeDocument/2006/relationships/hyperlink" Target="https://www.gabarite.com.br/" TargetMode="External"/><Relationship Id="rId6" Type="http://schemas.openxmlformats.org/officeDocument/2006/relationships/comments" Target="../comments12.xml"/><Relationship Id="rId5" Type="http://schemas.openxmlformats.org/officeDocument/2006/relationships/vmlDrawing" Target="../drawings/vmlDrawing12.vml"/><Relationship Id="rId4" Type="http://schemas.openxmlformats.org/officeDocument/2006/relationships/drawing" Target="../drawings/drawing1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?gl=BR&amp;hl=pt" TargetMode="External"/><Relationship Id="rId2" Type="http://schemas.openxmlformats.org/officeDocument/2006/relationships/hyperlink" Target="https://www.google.com.br/" TargetMode="External"/><Relationship Id="rId1" Type="http://schemas.openxmlformats.org/officeDocument/2006/relationships/hyperlink" Target="https://www.gabarite.com.br/" TargetMode="External"/><Relationship Id="rId6" Type="http://schemas.openxmlformats.org/officeDocument/2006/relationships/comments" Target="../comments13.xml"/><Relationship Id="rId5" Type="http://schemas.openxmlformats.org/officeDocument/2006/relationships/vmlDrawing" Target="../drawings/vmlDrawing13.vml"/><Relationship Id="rId4" Type="http://schemas.openxmlformats.org/officeDocument/2006/relationships/drawing" Target="../drawings/drawing1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?gl=BR&amp;hl=pt" TargetMode="External"/><Relationship Id="rId2" Type="http://schemas.openxmlformats.org/officeDocument/2006/relationships/hyperlink" Target="https://www.google.com.br/" TargetMode="External"/><Relationship Id="rId1" Type="http://schemas.openxmlformats.org/officeDocument/2006/relationships/hyperlink" Target="https://www.gabarite.com.br/" TargetMode="External"/><Relationship Id="rId6" Type="http://schemas.openxmlformats.org/officeDocument/2006/relationships/comments" Target="../comments14.xml"/><Relationship Id="rId5" Type="http://schemas.openxmlformats.org/officeDocument/2006/relationships/vmlDrawing" Target="../drawings/vmlDrawing14.vml"/><Relationship Id="rId4" Type="http://schemas.openxmlformats.org/officeDocument/2006/relationships/drawing" Target="../drawings/drawing1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?gl=BR&amp;hl=pt" TargetMode="External"/><Relationship Id="rId2" Type="http://schemas.openxmlformats.org/officeDocument/2006/relationships/hyperlink" Target="https://www.google.com.br/" TargetMode="External"/><Relationship Id="rId1" Type="http://schemas.openxmlformats.org/officeDocument/2006/relationships/hyperlink" Target="https://www.gabarite.com.br/" TargetMode="External"/><Relationship Id="rId6" Type="http://schemas.openxmlformats.org/officeDocument/2006/relationships/comments" Target="../comments15.xml"/><Relationship Id="rId5" Type="http://schemas.openxmlformats.org/officeDocument/2006/relationships/vmlDrawing" Target="../drawings/vmlDrawing15.vml"/><Relationship Id="rId4" Type="http://schemas.openxmlformats.org/officeDocument/2006/relationships/drawing" Target="../drawings/drawing1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?gl=BR&amp;hl=pt" TargetMode="External"/><Relationship Id="rId2" Type="http://schemas.openxmlformats.org/officeDocument/2006/relationships/hyperlink" Target="https://www.google.com.br/" TargetMode="External"/><Relationship Id="rId1" Type="http://schemas.openxmlformats.org/officeDocument/2006/relationships/hyperlink" Target="https://www.gabarite.com.br/" TargetMode="External"/><Relationship Id="rId6" Type="http://schemas.openxmlformats.org/officeDocument/2006/relationships/comments" Target="../comments16.xml"/><Relationship Id="rId5" Type="http://schemas.openxmlformats.org/officeDocument/2006/relationships/vmlDrawing" Target="../drawings/vmlDrawing16.vml"/><Relationship Id="rId4" Type="http://schemas.openxmlformats.org/officeDocument/2006/relationships/drawing" Target="../drawings/drawing2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?gl=BR&amp;hl=pt" TargetMode="External"/><Relationship Id="rId2" Type="http://schemas.openxmlformats.org/officeDocument/2006/relationships/hyperlink" Target="https://www.google.com.br/" TargetMode="External"/><Relationship Id="rId1" Type="http://schemas.openxmlformats.org/officeDocument/2006/relationships/hyperlink" Target="https://www.gabarite.com.br/" TargetMode="External"/><Relationship Id="rId6" Type="http://schemas.openxmlformats.org/officeDocument/2006/relationships/comments" Target="../comments17.xml"/><Relationship Id="rId5" Type="http://schemas.openxmlformats.org/officeDocument/2006/relationships/vmlDrawing" Target="../drawings/vmlDrawing17.vml"/><Relationship Id="rId4" Type="http://schemas.openxmlformats.org/officeDocument/2006/relationships/drawing" Target="../drawings/drawing2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?gl=BR&amp;hl=pt" TargetMode="External"/><Relationship Id="rId2" Type="http://schemas.openxmlformats.org/officeDocument/2006/relationships/hyperlink" Target="https://www.google.com.br/" TargetMode="External"/><Relationship Id="rId1" Type="http://schemas.openxmlformats.org/officeDocument/2006/relationships/hyperlink" Target="https://www.gabarite.com.br/" TargetMode="External"/><Relationship Id="rId6" Type="http://schemas.openxmlformats.org/officeDocument/2006/relationships/comments" Target="../comments18.xml"/><Relationship Id="rId5" Type="http://schemas.openxmlformats.org/officeDocument/2006/relationships/vmlDrawing" Target="../drawings/vmlDrawing18.vml"/><Relationship Id="rId4" Type="http://schemas.openxmlformats.org/officeDocument/2006/relationships/drawing" Target="../drawings/drawing2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?gl=BR&amp;hl=pt" TargetMode="External"/><Relationship Id="rId2" Type="http://schemas.openxmlformats.org/officeDocument/2006/relationships/hyperlink" Target="https://www.google.com.br/" TargetMode="External"/><Relationship Id="rId1" Type="http://schemas.openxmlformats.org/officeDocument/2006/relationships/hyperlink" Target="https://www.gabarite.com.br/" TargetMode="External"/><Relationship Id="rId6" Type="http://schemas.openxmlformats.org/officeDocument/2006/relationships/comments" Target="../comments19.xml"/><Relationship Id="rId5" Type="http://schemas.openxmlformats.org/officeDocument/2006/relationships/vmlDrawing" Target="../drawings/vmlDrawing19.vml"/><Relationship Id="rId4" Type="http://schemas.openxmlformats.org/officeDocument/2006/relationships/drawing" Target="../drawings/drawing2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4.xml"/><Relationship Id="rId4" Type="http://schemas.openxmlformats.org/officeDocument/2006/relationships/comments" Target="../comments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5.xml"/><Relationship Id="rId4" Type="http://schemas.openxmlformats.org/officeDocument/2006/relationships/comments" Target="../comments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6.xml"/><Relationship Id="rId4" Type="http://schemas.openxmlformats.org/officeDocument/2006/relationships/comments" Target="../comments2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3.xml"/><Relationship Id="rId4" Type="http://schemas.openxmlformats.org/officeDocument/2006/relationships/table" Target="../tables/table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8.xml"/><Relationship Id="rId4" Type="http://schemas.openxmlformats.org/officeDocument/2006/relationships/comments" Target="../comments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9.xml"/><Relationship Id="rId4" Type="http://schemas.openxmlformats.org/officeDocument/2006/relationships/comments" Target="../comments2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30.xml"/><Relationship Id="rId4" Type="http://schemas.openxmlformats.org/officeDocument/2006/relationships/comments" Target="../comments2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31.xml"/><Relationship Id="rId4" Type="http://schemas.openxmlformats.org/officeDocument/2006/relationships/comments" Target="../comments27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32.xml"/><Relationship Id="rId4" Type="http://schemas.openxmlformats.org/officeDocument/2006/relationships/comments" Target="../comments28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33.xml"/><Relationship Id="rId4" Type="http://schemas.openxmlformats.org/officeDocument/2006/relationships/comments" Target="../comments29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4.xml"/><Relationship Id="rId4" Type="http://schemas.openxmlformats.org/officeDocument/2006/relationships/comments" Target="../comments3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oogle.com.br/search?source=hp&amp;ei=kmP5XPbvCr7Z5OUP4cau-Aw&amp;q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S242"/>
  <sheetViews>
    <sheetView showGridLines="0" showRowColHeaders="0" showZeros="0" tabSelected="1" zoomScaleNormal="100" workbookViewId="0">
      <pane ySplit="4" topLeftCell="A5" activePane="bottomLeft" state="frozen"/>
      <selection activeCell="A5" sqref="A5"/>
      <selection pane="bottomLeft"/>
    </sheetView>
  </sheetViews>
  <sheetFormatPr defaultRowHeight="15" x14ac:dyDescent="0.25"/>
  <cols>
    <col min="1" max="1" width="3.85546875" style="102" customWidth="1"/>
    <col min="2" max="2" width="3.28515625" style="102" customWidth="1"/>
    <col min="3" max="3" width="19" style="102" customWidth="1"/>
    <col min="4" max="4" width="19.28515625" style="102" customWidth="1"/>
    <col min="5" max="5" width="17.28515625" style="102" customWidth="1"/>
    <col min="6" max="6" width="19.7109375" style="102" customWidth="1"/>
    <col min="7" max="7" width="21" style="102" customWidth="1"/>
    <col min="8" max="8" width="7.28515625" style="102" bestFit="1" customWidth="1"/>
    <col min="9" max="9" width="11.140625" style="102" customWidth="1"/>
    <col min="10" max="11" width="15.28515625" style="102" customWidth="1"/>
    <col min="12" max="12" width="15.42578125" style="102" customWidth="1"/>
    <col min="13" max="13" width="15.7109375" style="102" customWidth="1"/>
    <col min="14" max="14" width="7.140625" style="102" hidden="1" customWidth="1"/>
    <col min="15" max="16384" width="9.140625" style="102"/>
  </cols>
  <sheetData>
    <row r="1" spans="1:19" s="38" customFormat="1" x14ac:dyDescent="0.25"/>
    <row r="2" spans="1:19" s="38" customFormat="1" x14ac:dyDescent="0.25"/>
    <row r="3" spans="1:19" s="38" customFormat="1" x14ac:dyDescent="0.25">
      <c r="E3" s="41"/>
    </row>
    <row r="4" spans="1:19" s="38" customFormat="1" x14ac:dyDescent="0.25"/>
    <row r="5" spans="1:19" s="63" customFormat="1" ht="3.95" customHeight="1" x14ac:dyDescent="0.25"/>
    <row r="6" spans="1:19" s="27" customFormat="1" ht="15.75" thickBot="1" x14ac:dyDescent="0.3">
      <c r="A6" s="102"/>
      <c r="B6" s="102"/>
      <c r="C6" s="102"/>
      <c r="D6" s="102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102"/>
    </row>
    <row r="7" spans="1:19" s="27" customFormat="1" ht="18" customHeight="1" thickBot="1" x14ac:dyDescent="0.3">
      <c r="A7" s="102"/>
      <c r="B7" s="102"/>
      <c r="C7" s="143" t="s">
        <v>482</v>
      </c>
      <c r="D7" s="127" t="s">
        <v>82</v>
      </c>
      <c r="E7" s="128">
        <f ca="1">TODAY()</f>
        <v>45367</v>
      </c>
      <c r="F7" s="102"/>
      <c r="G7" s="102"/>
      <c r="H7" s="102"/>
      <c r="I7" s="102"/>
      <c r="J7" s="102"/>
      <c r="K7" s="102"/>
      <c r="L7" s="176" t="s">
        <v>86</v>
      </c>
      <c r="M7" s="177" t="s">
        <v>87</v>
      </c>
      <c r="O7" s="102"/>
      <c r="P7" s="102"/>
      <c r="Q7" s="102"/>
    </row>
    <row r="8" spans="1:19" s="27" customFormat="1" ht="15.75" thickBot="1" x14ac:dyDescent="0.3">
      <c r="A8" s="102"/>
      <c r="B8" s="102"/>
      <c r="C8" s="102"/>
      <c r="D8" s="102"/>
      <c r="E8" s="102"/>
      <c r="F8" s="102"/>
      <c r="G8" s="102"/>
      <c r="H8" s="102"/>
      <c r="I8" s="102"/>
      <c r="J8" s="102"/>
      <c r="K8" s="102"/>
      <c r="L8" s="176"/>
      <c r="M8" s="177"/>
      <c r="O8" s="102"/>
      <c r="P8" s="102"/>
      <c r="Q8" s="102"/>
    </row>
    <row r="9" spans="1:19" s="27" customFormat="1" ht="18" customHeight="1" thickBot="1" x14ac:dyDescent="0.3">
      <c r="A9" s="102"/>
      <c r="B9" s="102"/>
      <c r="C9" s="125" t="s">
        <v>79</v>
      </c>
      <c r="D9" s="131">
        <v>45334</v>
      </c>
      <c r="E9" s="119"/>
      <c r="F9" s="125" t="s">
        <v>0</v>
      </c>
      <c r="G9" s="131">
        <v>45605</v>
      </c>
      <c r="H9" s="120"/>
      <c r="I9" s="179" t="s">
        <v>477</v>
      </c>
      <c r="J9" s="182">
        <f>IF(G9="","",IF(AND(D9=""),"",G9-D9))</f>
        <v>271</v>
      </c>
      <c r="K9" s="123"/>
      <c r="L9" s="102"/>
      <c r="M9" s="102"/>
      <c r="O9" s="102"/>
      <c r="P9" s="102"/>
      <c r="Q9" s="102"/>
    </row>
    <row r="10" spans="1:19" s="27" customFormat="1" ht="18" customHeight="1" thickBot="1" x14ac:dyDescent="0.3">
      <c r="A10" s="102"/>
      <c r="B10" s="102"/>
      <c r="C10" s="125" t="s">
        <v>39</v>
      </c>
      <c r="D10" s="132" t="s">
        <v>524</v>
      </c>
      <c r="E10" s="119"/>
      <c r="F10" s="126" t="s">
        <v>40</v>
      </c>
      <c r="G10" s="134" t="s">
        <v>144</v>
      </c>
      <c r="H10" s="121"/>
      <c r="I10" s="180"/>
      <c r="J10" s="183"/>
      <c r="K10" s="123"/>
      <c r="L10" s="130"/>
      <c r="M10" s="130"/>
      <c r="N10" s="28"/>
      <c r="O10" s="102"/>
      <c r="P10" s="124"/>
      <c r="Q10" s="102"/>
    </row>
    <row r="11" spans="1:19" s="27" customFormat="1" ht="17.25" customHeight="1" thickBot="1" x14ac:dyDescent="0.3">
      <c r="A11" s="102"/>
      <c r="B11" s="102"/>
      <c r="C11" s="125" t="s">
        <v>1</v>
      </c>
      <c r="D11" s="133" t="s">
        <v>523</v>
      </c>
      <c r="E11" s="118"/>
      <c r="F11" s="125" t="s">
        <v>80</v>
      </c>
      <c r="G11" s="252">
        <v>7690</v>
      </c>
      <c r="H11" s="122"/>
      <c r="I11" s="181"/>
      <c r="J11" s="184"/>
      <c r="K11" s="123"/>
      <c r="L11" s="135"/>
      <c r="M11" s="130"/>
      <c r="N11" s="178"/>
      <c r="O11" s="124"/>
      <c r="P11" s="124"/>
      <c r="Q11" s="102"/>
    </row>
    <row r="12" spans="1:19" s="27" customFormat="1" ht="17.25" customHeight="1" thickBot="1" x14ac:dyDescent="0.3">
      <c r="A12" s="102"/>
      <c r="B12" s="102"/>
      <c r="C12" s="102"/>
      <c r="D12" s="117"/>
      <c r="E12" s="118"/>
      <c r="F12" s="118"/>
      <c r="G12" s="102"/>
      <c r="H12" s="102"/>
      <c r="I12" s="102"/>
      <c r="J12" s="102"/>
      <c r="K12" s="102"/>
      <c r="L12" s="102"/>
      <c r="M12" s="102"/>
      <c r="N12" s="178"/>
      <c r="O12" s="102"/>
      <c r="P12" s="124"/>
      <c r="Q12" s="102"/>
    </row>
    <row r="13" spans="1:19" s="27" customFormat="1" ht="35.1" customHeight="1" thickBot="1" x14ac:dyDescent="0.3">
      <c r="A13" s="58" t="s">
        <v>38</v>
      </c>
      <c r="B13" s="59" t="s">
        <v>479</v>
      </c>
      <c r="C13" s="10" t="s">
        <v>77</v>
      </c>
      <c r="D13" s="11" t="s">
        <v>142</v>
      </c>
      <c r="E13" s="11" t="s">
        <v>84</v>
      </c>
      <c r="F13" s="11" t="s">
        <v>88</v>
      </c>
      <c r="G13" s="11" t="s">
        <v>85</v>
      </c>
      <c r="H13" s="10" t="s">
        <v>1</v>
      </c>
      <c r="I13" s="10" t="s">
        <v>78</v>
      </c>
      <c r="J13" s="11" t="s">
        <v>492</v>
      </c>
      <c r="K13" s="10" t="s">
        <v>478</v>
      </c>
      <c r="L13" s="11" t="s">
        <v>143</v>
      </c>
      <c r="M13" s="185">
        <f>IFERROR(SUM(I14:I29),"")</f>
        <v>20.451695853166445</v>
      </c>
      <c r="N13" s="186"/>
      <c r="O13" s="186"/>
      <c r="P13" s="186"/>
      <c r="Q13" s="104" t="s">
        <v>481</v>
      </c>
      <c r="R13" s="101"/>
      <c r="S13" s="101"/>
    </row>
    <row r="14" spans="1:19" s="27" customFormat="1" ht="26.25" thickBot="1" x14ac:dyDescent="0.3">
      <c r="A14" s="56">
        <v>1</v>
      </c>
      <c r="B14" s="55" t="str">
        <f>IFERROR(IF(Desempenho!G12&gt;=Começo!D14,"▲","▼"),IF(AND(fev!G12&gt;=Começo!D14,"▲","▼"),IF(AND(mar!G12&gt;=Começo!D14,"▲","▼"),IF(AND(abr!G12&gt;=Começo!D14,"▲","▼"),IF(AND(maio!G12&gt;=Começo!D14,"▲","▼"),IF(AND(jun!G12&gt;=Começo!D14,"▲","▼"),IF(AND(jul!G12&gt;=Começo!D14,"▲","▼"),IF(AND(ago!G12&gt;=Começo!D14,"▲","▼"),IF(AND(set!G12&gt;=Começo!D14,"▲","▼"),IF(AND(out!G12&gt;=Começo!D14,"▲","▼"),IF(AND(nov!G12&gt;=Começo!D14,"▲","▼"),IF(AND(dez!G12&gt;=Começo!D14,"▲","▼"),"?"))))))))))))</f>
        <v>▲</v>
      </c>
      <c r="C14" s="136" t="s">
        <v>507</v>
      </c>
      <c r="D14" s="137">
        <v>0.125</v>
      </c>
      <c r="E14" s="138">
        <v>15</v>
      </c>
      <c r="F14" s="141">
        <v>1.5</v>
      </c>
      <c r="G14" s="138">
        <v>9</v>
      </c>
      <c r="H14" s="142" t="s">
        <v>83</v>
      </c>
      <c r="I14" s="14">
        <f>IFERROR(IF(E14="","",(G14*F14)/E14),"")</f>
        <v>0.9</v>
      </c>
      <c r="J14" s="100">
        <f>IFERROR(IF(D14="","",IF(G14/E14&lt;=0.6,D14*0.2/24,"")),"")</f>
        <v>1.0416666666666667E-3</v>
      </c>
      <c r="K14" s="62" t="str">
        <f>IFERROR(IF(G14/E14&gt;=0.9,"Excelente",IF(AND(G14/E14&gt;=0.8),"Bom",IF(AND(G14/E14&gt;=0.6),"Razoavel",IF(AND(G14/E14&gt;=0.4),"Atenção",IF(AND(G14/E14&lt;=0.2),"Ruim"))))),"")</f>
        <v>Razoavel</v>
      </c>
      <c r="L14" s="173"/>
      <c r="M14" s="173"/>
      <c r="N14" s="173"/>
      <c r="O14" s="173"/>
      <c r="P14" s="173"/>
      <c r="Q14" s="102"/>
    </row>
    <row r="15" spans="1:19" s="27" customFormat="1" ht="29.25" thickBot="1" x14ac:dyDescent="0.3">
      <c r="A15" s="57">
        <v>2</v>
      </c>
      <c r="B15" s="55" t="str">
        <f>IFERROR(IF(Desempenho!G13&gt;=Começo!D15,"▲","▼"),IF(AND(fev!G13&gt;=Começo!D15,"▲","▼"),IF(AND(mar!G13&gt;=Começo!D15,"▲","▼"),IF(AND(abr!G13&gt;=Começo!D15,"▲","▼"),IF(AND(maio!G13&gt;=Começo!D15,"▲","▼"),IF(AND(jun!G13&gt;=Começo!D15,"▲","▼"),IF(AND(jul!G13&gt;=Começo!D15,"▲","▼"),IF(AND(ago!G13&gt;=Começo!D15,"▲","▼"),IF(AND(set!G13&gt;=Começo!D15,"▲","▼"),IF(AND(out!G13&gt;=Começo!D15,"▲","▼"),IF(AND(nov!G13&gt;=Começo!D15,"▲","▼"),IF(AND(dez!G13&gt;=Começo!D15,"▲","▼"),"?"))))))))))))</f>
        <v>▼</v>
      </c>
      <c r="C15" s="136" t="s">
        <v>508</v>
      </c>
      <c r="D15" s="137">
        <v>0.10416666666666667</v>
      </c>
      <c r="E15" s="139">
        <v>25</v>
      </c>
      <c r="F15" s="141">
        <v>2.5</v>
      </c>
      <c r="G15" s="139">
        <v>16</v>
      </c>
      <c r="H15" s="142" t="s">
        <v>83</v>
      </c>
      <c r="I15" s="14">
        <f t="shared" ref="I15:I29" si="0">IFERROR(IF(E15="","",(G15*F15)/E15),"")</f>
        <v>1.6</v>
      </c>
      <c r="J15" s="100" t="str">
        <f t="shared" ref="J15:J29" si="1">IFERROR(IF(D15="","",IF(G15/E15&lt;=0.6,D15*0.2/24,"")),"")</f>
        <v/>
      </c>
      <c r="K15" s="62" t="str">
        <f t="shared" ref="K15:K29" si="2">IFERROR(IF(G15/E15&gt;=0.9,"Excelente",IF(AND(G15/E15&gt;=0.8),"Bom",IF(AND(G15/E15&gt;=0.6),"Razoavel",IF(AND(G15/E15&gt;=0.4),"Atenção",IF(AND(G15/E15&lt;=0.2),"Ruim"))))),"")</f>
        <v>Razoavel</v>
      </c>
      <c r="L15" s="175"/>
      <c r="M15" s="175"/>
      <c r="N15" s="175"/>
      <c r="O15" s="175"/>
      <c r="P15" s="175"/>
      <c r="Q15" s="103" t="s">
        <v>501</v>
      </c>
    </row>
    <row r="16" spans="1:19" s="27" customFormat="1" ht="29.25" thickBot="1" x14ac:dyDescent="0.3">
      <c r="A16" s="57">
        <v>3</v>
      </c>
      <c r="B16" s="55" t="str">
        <f>IFERROR(IF(Desempenho!G14&gt;=Começo!D16,"▲","▼"),IF(AND(fev!G14&gt;=Começo!D16,"▲","▼"),IF(AND(mar!G14&gt;=Começo!D16,"▲","▼"),IF(AND(abr!G14&gt;=Começo!D16,"▲","▼"),IF(AND(maio!G14&gt;=Começo!D16,"▲","▼"),IF(AND(jun!G14&gt;=Começo!D16,"▲","▼"),IF(AND(jul!G14&gt;=Começo!D16,"▲","▼"),IF(AND(ago!G14&gt;=Começo!D16,"▲","▼"),IF(AND(set!G14&gt;=Começo!D16,"▲","▼"),IF(AND(out!G14&gt;=Começo!D16,"▲","▼"),IF(AND(nov!G14&gt;=Começo!D16,"▲","▼"),IF(AND(dez!G14&gt;=Começo!D16,"▲","▼"),"?"))))))))))))</f>
        <v>▼</v>
      </c>
      <c r="C16" s="136" t="s">
        <v>509</v>
      </c>
      <c r="D16" s="137">
        <v>4.1666666666666664E-2</v>
      </c>
      <c r="E16" s="140">
        <v>8</v>
      </c>
      <c r="F16" s="141">
        <v>1</v>
      </c>
      <c r="G16" s="140">
        <v>7</v>
      </c>
      <c r="H16" s="142" t="s">
        <v>83</v>
      </c>
      <c r="I16" s="14">
        <f t="shared" si="0"/>
        <v>0.875</v>
      </c>
      <c r="J16" s="100" t="str">
        <f t="shared" si="1"/>
        <v/>
      </c>
      <c r="K16" s="62" t="str">
        <f t="shared" si="2"/>
        <v>Bom</v>
      </c>
      <c r="L16" s="173"/>
      <c r="M16" s="173"/>
      <c r="N16" s="173"/>
      <c r="O16" s="173"/>
      <c r="P16" s="173"/>
      <c r="Q16" s="103" t="s">
        <v>499</v>
      </c>
    </row>
    <row r="17" spans="1:17" s="27" customFormat="1" ht="29.25" thickBot="1" x14ac:dyDescent="0.3">
      <c r="A17" s="57">
        <v>4</v>
      </c>
      <c r="B17" s="55" t="str">
        <f>IFERROR(IF(Desempenho!G15&gt;=Começo!D17,"▲","▼"),IF(AND(fev!G15&gt;=Começo!D17,"▲","▼"),IF(AND(mar!G15&gt;=Começo!D17,"▲","▼"),IF(AND(abr!G15&gt;=Começo!D17,"▲","▼"),IF(AND(maio!G15&gt;=Começo!D17,"▲","▼"),IF(AND(jun!G15&gt;=Começo!D17,"▲","▼"),IF(AND(jul!G15&gt;=Começo!D17,"▲","▼"),IF(AND(ago!G15&gt;=Começo!D17,"▲","▼"),IF(AND(set!G15&gt;=Começo!D17,"▲","▼"),IF(AND(out!G15&gt;=Começo!D17,"▲","▼"),IF(AND(nov!G15&gt;=Começo!D17,"▲","▼"),IF(AND(dez!G15&gt;=Começo!D17,"▲","▼"),"?"))))))))))))</f>
        <v>▼</v>
      </c>
      <c r="C17" s="136" t="s">
        <v>510</v>
      </c>
      <c r="D17" s="137">
        <v>0.1875</v>
      </c>
      <c r="E17" s="140">
        <v>11</v>
      </c>
      <c r="F17" s="141">
        <v>3</v>
      </c>
      <c r="G17" s="140">
        <v>9</v>
      </c>
      <c r="H17" s="142" t="s">
        <v>83</v>
      </c>
      <c r="I17" s="14">
        <f t="shared" si="0"/>
        <v>2.4545454545454546</v>
      </c>
      <c r="J17" s="100" t="str">
        <f t="shared" si="1"/>
        <v/>
      </c>
      <c r="K17" s="62" t="str">
        <f t="shared" si="2"/>
        <v>Bom</v>
      </c>
      <c r="L17" s="175"/>
      <c r="M17" s="175"/>
      <c r="N17" s="175"/>
      <c r="O17" s="175"/>
      <c r="P17" s="175"/>
      <c r="Q17" s="103" t="s">
        <v>502</v>
      </c>
    </row>
    <row r="18" spans="1:17" s="27" customFormat="1" ht="29.25" thickBot="1" x14ac:dyDescent="0.3">
      <c r="A18" s="57">
        <v>5</v>
      </c>
      <c r="B18" s="55" t="str">
        <f>IFERROR(IF(Desempenho!G16&gt;=Começo!D18,"▲","▼"),IF(AND(fev!G16&gt;=Começo!D18,"▲","▼"),IF(AND(mar!G16&gt;=Começo!D18,"▲","▼"),IF(AND(abr!G16&gt;=Começo!D18,"▲","▼"),IF(AND(maio!G16&gt;=Começo!D18,"▲","▼"),IF(AND(jun!G16&gt;=Começo!D18,"▲","▼"),IF(AND(jul!G16&gt;=Começo!D18,"▲","▼"),IF(AND(ago!G16&gt;=Começo!D18,"▲","▼"),IF(AND(set!G16&gt;=Começo!D18,"▲","▼"),IF(AND(out!G16&gt;=Começo!D18,"▲","▼"),IF(AND(nov!G16&gt;=Começo!D18,"▲","▼"),IF(AND(dez!G16&gt;=Começo!D18,"▲","▼"),"?"))))))))))))</f>
        <v>▼</v>
      </c>
      <c r="C18" s="136" t="s">
        <v>511</v>
      </c>
      <c r="D18" s="137">
        <v>0.25</v>
      </c>
      <c r="E18" s="140">
        <v>5</v>
      </c>
      <c r="F18" s="141">
        <v>1.5</v>
      </c>
      <c r="G18" s="140">
        <v>3</v>
      </c>
      <c r="H18" s="142" t="s">
        <v>83</v>
      </c>
      <c r="I18" s="14">
        <f t="shared" si="0"/>
        <v>0.9</v>
      </c>
      <c r="J18" s="100">
        <f t="shared" si="1"/>
        <v>2.0833333333333333E-3</v>
      </c>
      <c r="K18" s="62" t="str">
        <f t="shared" si="2"/>
        <v>Razoavel</v>
      </c>
      <c r="L18" s="173"/>
      <c r="M18" s="173"/>
      <c r="N18" s="173"/>
      <c r="O18" s="173"/>
      <c r="P18" s="173"/>
      <c r="Q18" s="103" t="s">
        <v>494</v>
      </c>
    </row>
    <row r="19" spans="1:17" s="27" customFormat="1" ht="26.25" thickBot="1" x14ac:dyDescent="0.3">
      <c r="A19" s="57">
        <v>6</v>
      </c>
      <c r="B19" s="55" t="str">
        <f>IFERROR(IF(Desempenho!G17&gt;=Começo!D19,"▲","▼"),IF(AND(fev!G17&gt;=Começo!D19,"▲","▼"),IF(AND(mar!G17&gt;=Começo!D19,"▲","▼"),IF(AND(abr!G17&gt;=Começo!D19,"▲","▼"),IF(AND(maio!G17&gt;=Começo!D19,"▲","▼"),IF(AND(jun!G17&gt;=Começo!D19,"▲","▼"),IF(AND(jul!G17&gt;=Começo!D19,"▲","▼"),IF(AND(ago!G17&gt;=Começo!D19,"▲","▼"),IF(AND(set!G17&gt;=Começo!D19,"▲","▼"),IF(AND(out!G17&gt;=Começo!D19,"▲","▼"),IF(AND(nov!G17&gt;=Começo!D19,"▲","▼"),IF(AND(dez!G17&gt;=Começo!D19,"▲","▼"),"?"))))))))))))</f>
        <v>▼</v>
      </c>
      <c r="C19" s="136" t="s">
        <v>512</v>
      </c>
      <c r="D19" s="137">
        <v>8.3333333333333329E-2</v>
      </c>
      <c r="E19" s="140">
        <v>12</v>
      </c>
      <c r="F19" s="141">
        <v>2</v>
      </c>
      <c r="G19" s="140">
        <v>11</v>
      </c>
      <c r="H19" s="142" t="s">
        <v>83</v>
      </c>
      <c r="I19" s="14">
        <f t="shared" si="0"/>
        <v>1.8333333333333333</v>
      </c>
      <c r="J19" s="100" t="str">
        <f t="shared" si="1"/>
        <v/>
      </c>
      <c r="K19" s="62" t="str">
        <f t="shared" si="2"/>
        <v>Excelente</v>
      </c>
      <c r="L19" s="175"/>
      <c r="M19" s="175"/>
      <c r="N19" s="175"/>
      <c r="O19" s="175"/>
      <c r="P19" s="175"/>
      <c r="Q19" s="102"/>
    </row>
    <row r="20" spans="1:17" s="27" customFormat="1" ht="29.25" thickBot="1" x14ac:dyDescent="0.3">
      <c r="A20" s="57">
        <v>7</v>
      </c>
      <c r="B20" s="55" t="str">
        <f>IFERROR(IF(Desempenho!G18&gt;=Começo!D20,"▲","▼"),IF(AND(fev!G18&gt;=Começo!D20,"▲","▼"),IF(AND(mar!G18&gt;=Começo!D20,"▲","▼"),IF(AND(abr!G18&gt;=Começo!D20,"▲","▼"),IF(AND(maio!G18&gt;=Começo!D20,"▲","▼"),IF(AND(jun!G18&gt;=Começo!D20,"▲","▼"),IF(AND(jul!G18&gt;=Começo!D20,"▲","▼"),IF(AND(ago!G18&gt;=Começo!D20,"▲","▼"),IF(AND(set!G18&gt;=Começo!D20,"▲","▼"),IF(AND(out!G18&gt;=Começo!D20,"▲","▼"),IF(AND(nov!G18&gt;=Começo!D20,"▲","▼"),IF(AND(dez!G18&gt;=Começo!D20,"▲","▼"),"?"))))))))))))</f>
        <v>▼</v>
      </c>
      <c r="C20" s="136" t="s">
        <v>513</v>
      </c>
      <c r="D20" s="137">
        <v>6.25E-2</v>
      </c>
      <c r="E20" s="140">
        <v>7</v>
      </c>
      <c r="F20" s="141">
        <v>1.5</v>
      </c>
      <c r="G20" s="140">
        <v>6</v>
      </c>
      <c r="H20" s="142" t="s">
        <v>83</v>
      </c>
      <c r="I20" s="14">
        <f t="shared" si="0"/>
        <v>1.2857142857142858</v>
      </c>
      <c r="J20" s="100" t="str">
        <f t="shared" si="1"/>
        <v/>
      </c>
      <c r="K20" s="62" t="str">
        <f t="shared" si="2"/>
        <v>Bom</v>
      </c>
      <c r="L20" s="173"/>
      <c r="M20" s="173"/>
      <c r="N20" s="173"/>
      <c r="O20" s="173"/>
      <c r="P20" s="173"/>
      <c r="Q20" s="103" t="s">
        <v>494</v>
      </c>
    </row>
    <row r="21" spans="1:17" s="27" customFormat="1" ht="29.25" thickBot="1" x14ac:dyDescent="0.3">
      <c r="A21" s="57">
        <v>8</v>
      </c>
      <c r="B21" s="55" t="str">
        <f>IFERROR(IF(Desempenho!G19&gt;=Começo!D21,"▲","▼"),IF(AND(fev!G19&gt;=Começo!D21,"▲","▼"),IF(AND(mar!G19&gt;=Começo!D21,"▲","▼"),IF(AND(abr!G19&gt;=Começo!D21,"▲","▼"),IF(AND(maio!G19&gt;=Começo!D21,"▲","▼"),IF(AND(jun!G19&gt;=Começo!D21,"▲","▼"),IF(AND(jul!G19&gt;=Começo!D21,"▲","▼"),IF(AND(ago!G19&gt;=Começo!D21,"▲","▼"),IF(AND(set!G19&gt;=Começo!D21,"▲","▼"),IF(AND(out!G19&gt;=Começo!D21,"▲","▼"),IF(AND(nov!G19&gt;=Começo!D21,"▲","▼"),IF(AND(dez!G19&gt;=Começo!D21,"▲","▼"),"?"))))))))))))</f>
        <v>▼</v>
      </c>
      <c r="C21" s="136" t="s">
        <v>514</v>
      </c>
      <c r="D21" s="137">
        <v>0.125</v>
      </c>
      <c r="E21" s="140">
        <v>13</v>
      </c>
      <c r="F21" s="141">
        <v>1.5</v>
      </c>
      <c r="G21" s="140">
        <v>12</v>
      </c>
      <c r="H21" s="142" t="s">
        <v>83</v>
      </c>
      <c r="I21" s="14">
        <f t="shared" si="0"/>
        <v>1.3846153846153846</v>
      </c>
      <c r="J21" s="100" t="str">
        <f t="shared" si="1"/>
        <v/>
      </c>
      <c r="K21" s="62" t="str">
        <f t="shared" si="2"/>
        <v>Excelente</v>
      </c>
      <c r="L21" s="175"/>
      <c r="M21" s="175"/>
      <c r="N21" s="175"/>
      <c r="O21" s="175"/>
      <c r="P21" s="175"/>
      <c r="Q21" s="103" t="s">
        <v>38</v>
      </c>
    </row>
    <row r="22" spans="1:17" s="27" customFormat="1" ht="29.25" thickBot="1" x14ac:dyDescent="0.3">
      <c r="A22" s="57">
        <v>9</v>
      </c>
      <c r="B22" s="55" t="str">
        <f>IFERROR(IF(Desempenho!G20&gt;=Começo!D22,"▲","▼"),IF(AND(fev!G20&gt;=Começo!D22,"▲","▼"),IF(AND(mar!G20&gt;=Começo!D22,"▲","▼"),IF(AND(abr!G20&gt;=Começo!D22,"▲","▼"),IF(AND(maio!G20&gt;=Começo!D22,"▲","▼"),IF(AND(jun!G20&gt;=Começo!D22,"▲","▼"),IF(AND(jul!G20&gt;=Começo!D22,"▲","▼"),IF(AND(ago!G20&gt;=Começo!D22,"▲","▼"),IF(AND(set!G20&gt;=Começo!D22,"▲","▼"),IF(AND(out!G20&gt;=Começo!D22,"▲","▼"),IF(AND(nov!G20&gt;=Começo!D22,"▲","▼"),IF(AND(dez!G20&gt;=Começo!D22,"▲","▼"),"?"))))))))))))</f>
        <v>▼</v>
      </c>
      <c r="C22" s="136" t="s">
        <v>515</v>
      </c>
      <c r="D22" s="137">
        <v>8.3333333333333329E-2</v>
      </c>
      <c r="E22" s="140">
        <v>6</v>
      </c>
      <c r="F22" s="141">
        <v>1</v>
      </c>
      <c r="G22" s="140">
        <v>5</v>
      </c>
      <c r="H22" s="142" t="s">
        <v>83</v>
      </c>
      <c r="I22" s="14">
        <f t="shared" si="0"/>
        <v>0.83333333333333337</v>
      </c>
      <c r="J22" s="100" t="str">
        <f t="shared" si="1"/>
        <v/>
      </c>
      <c r="K22" s="62" t="str">
        <f t="shared" si="2"/>
        <v>Bom</v>
      </c>
      <c r="L22" s="173"/>
      <c r="M22" s="173"/>
      <c r="N22" s="173"/>
      <c r="O22" s="173"/>
      <c r="P22" s="173"/>
      <c r="Q22" s="103" t="s">
        <v>495</v>
      </c>
    </row>
    <row r="23" spans="1:17" s="27" customFormat="1" ht="29.25" thickBot="1" x14ac:dyDescent="0.3">
      <c r="A23" s="57">
        <v>10</v>
      </c>
      <c r="B23" s="55" t="str">
        <f>IFERROR(IF(Desempenho!G21&gt;=Começo!D23,"▲","▼"),IF(AND(fev!G21&gt;=Começo!D23,"▲","▼"),IF(AND(mar!G21&gt;=Começo!D23,"▲","▼"),IF(AND(abr!G21&gt;=Começo!D23,"▲","▼"),IF(AND(maio!G21&gt;=Começo!D23,"▲","▼"),IF(AND(jun!G21&gt;=Começo!D23,"▲","▼"),IF(AND(jul!G21&gt;=Começo!D23,"▲","▼"),IF(AND(ago!G21&gt;=Começo!D23,"▲","▼"),IF(AND(set!G21&gt;=Começo!D23,"▲","▼"),IF(AND(out!G21&gt;=Começo!D23,"▲","▼"),IF(AND(nov!G21&gt;=Começo!D23,"▲","▼"),IF(AND(dez!G21&gt;=Começo!D23,"▲","▼"),"?"))))))))))))</f>
        <v>▼</v>
      </c>
      <c r="C23" s="136" t="s">
        <v>516</v>
      </c>
      <c r="D23" s="137">
        <v>4.1666666666666664E-2</v>
      </c>
      <c r="E23" s="140">
        <v>8</v>
      </c>
      <c r="F23" s="141">
        <v>1</v>
      </c>
      <c r="G23" s="140">
        <v>8</v>
      </c>
      <c r="H23" s="142" t="s">
        <v>83</v>
      </c>
      <c r="I23" s="14">
        <f t="shared" si="0"/>
        <v>1</v>
      </c>
      <c r="J23" s="100" t="str">
        <f t="shared" si="1"/>
        <v/>
      </c>
      <c r="K23" s="62" t="str">
        <f t="shared" si="2"/>
        <v>Excelente</v>
      </c>
      <c r="L23" s="175"/>
      <c r="M23" s="175"/>
      <c r="N23" s="175"/>
      <c r="O23" s="175"/>
      <c r="P23" s="175"/>
      <c r="Q23" s="103" t="s">
        <v>496</v>
      </c>
    </row>
    <row r="24" spans="1:17" s="27" customFormat="1" ht="29.25" thickBot="1" x14ac:dyDescent="0.3">
      <c r="A24" s="57">
        <v>11</v>
      </c>
      <c r="B24" s="55" t="str">
        <f>IFERROR(IF(Desempenho!G22&gt;=Começo!D24,"▲","▼"),IF(AND(fev!G22&gt;=Começo!D24,"▲","▼"),IF(AND(mar!G22&gt;=Começo!D24,"▲","▼"),IF(AND(abr!G22&gt;=Começo!D24,"▲","▼"),IF(AND(maio!G22&gt;=Começo!D24,"▲","▼"),IF(AND(jun!G22&gt;=Começo!D24,"▲","▼"),IF(AND(jul!G22&gt;=Começo!D24,"▲","▼"),IF(AND(ago!G22&gt;=Começo!D24,"▲","▼"),IF(AND(set!G22&gt;=Começo!D24,"▲","▼"),IF(AND(out!G22&gt;=Começo!D24,"▲","▼"),IF(AND(nov!G22&gt;=Começo!D24,"▲","▼"),IF(AND(dez!G22&gt;=Começo!D24,"▲","▼"),"?"))))))))))))</f>
        <v>▼</v>
      </c>
      <c r="C24" s="136" t="s">
        <v>517</v>
      </c>
      <c r="D24" s="137">
        <v>0.10416666666666667</v>
      </c>
      <c r="E24" s="140">
        <v>17</v>
      </c>
      <c r="F24" s="141">
        <v>2</v>
      </c>
      <c r="G24" s="140">
        <v>14</v>
      </c>
      <c r="H24" s="142" t="s">
        <v>83</v>
      </c>
      <c r="I24" s="14">
        <f t="shared" si="0"/>
        <v>1.6470588235294117</v>
      </c>
      <c r="J24" s="100" t="str">
        <f t="shared" si="1"/>
        <v/>
      </c>
      <c r="K24" s="62" t="str">
        <f t="shared" si="2"/>
        <v>Bom</v>
      </c>
      <c r="L24" s="173"/>
      <c r="M24" s="173"/>
      <c r="N24" s="173"/>
      <c r="O24" s="173"/>
      <c r="P24" s="173"/>
      <c r="Q24" s="103" t="s">
        <v>494</v>
      </c>
    </row>
    <row r="25" spans="1:17" s="27" customFormat="1" ht="29.25" thickBot="1" x14ac:dyDescent="0.3">
      <c r="A25" s="57">
        <v>12</v>
      </c>
      <c r="B25" s="55" t="str">
        <f>IFERROR(IF(Desempenho!G23&gt;=Começo!D25,"▲","▼"),IF(AND(fev!G23&gt;=Começo!D25,"▲","▼"),IF(AND(mar!G23&gt;=Começo!D25,"▲","▼"),IF(AND(abr!G23&gt;=Começo!D25,"▲","▼"),IF(AND(maio!G23&gt;=Começo!D25,"▲","▼"),IF(AND(jun!G23&gt;=Começo!D25,"▲","▼"),IF(AND(jul!G23&gt;=Começo!D25,"▲","▼"),IF(AND(ago!G23&gt;=Começo!D25,"▲","▼"),IF(AND(set!G23&gt;=Começo!D25,"▲","▼"),IF(AND(out!G23&gt;=Começo!D25,"▲","▼"),IF(AND(nov!G23&gt;=Começo!D25,"▲","▼"),IF(AND(dez!G23&gt;=Começo!D25,"▲","▼"),"?"))))))))))))</f>
        <v>▼</v>
      </c>
      <c r="C25" s="136" t="s">
        <v>518</v>
      </c>
      <c r="D25" s="137">
        <v>4.1666666666666664E-2</v>
      </c>
      <c r="E25" s="140">
        <v>14</v>
      </c>
      <c r="F25" s="141">
        <v>2.5</v>
      </c>
      <c r="G25" s="140">
        <v>13</v>
      </c>
      <c r="H25" s="142" t="s">
        <v>83</v>
      </c>
      <c r="I25" s="14">
        <f t="shared" si="0"/>
        <v>2.3214285714285716</v>
      </c>
      <c r="J25" s="100" t="str">
        <f t="shared" si="1"/>
        <v/>
      </c>
      <c r="K25" s="62" t="str">
        <f t="shared" si="2"/>
        <v>Excelente</v>
      </c>
      <c r="L25" s="175"/>
      <c r="M25" s="175"/>
      <c r="N25" s="175"/>
      <c r="O25" s="175"/>
      <c r="P25" s="175"/>
      <c r="Q25" s="103" t="s">
        <v>497</v>
      </c>
    </row>
    <row r="26" spans="1:17" s="27" customFormat="1" ht="29.25" thickBot="1" x14ac:dyDescent="0.3">
      <c r="A26" s="57">
        <v>13</v>
      </c>
      <c r="B26" s="55" t="str">
        <f>IFERROR(IF(Desempenho!G24&gt;=Começo!D26,"▲","▼"),IF(AND(fev!G24&gt;=Começo!D26,"▲","▼"),IF(AND(mar!G24&gt;=Começo!D26,"▲","▼"),IF(AND(abr!G24&gt;=Começo!D26,"▲","▼"),IF(AND(maio!G24&gt;=Começo!D26,"▲","▼"),IF(AND(jun!G24&gt;=Começo!D26,"▲","▼"),IF(AND(jul!G24&gt;=Começo!D26,"▲","▼"),IF(AND(ago!G24&gt;=Começo!D26,"▲","▼"),IF(AND(set!G24&gt;=Começo!D26,"▲","▼"),IF(AND(out!G24&gt;=Começo!D26,"▲","▼"),IF(AND(nov!G24&gt;=Começo!D26,"▲","▼"),IF(AND(dez!G24&gt;=Começo!D26,"▲","▼"),"?"))))))))))))</f>
        <v>▼</v>
      </c>
      <c r="C26" s="136" t="s">
        <v>519</v>
      </c>
      <c r="D26" s="137">
        <v>0.125</v>
      </c>
      <c r="E26" s="140">
        <v>10</v>
      </c>
      <c r="F26" s="141">
        <v>1.5</v>
      </c>
      <c r="G26" s="140">
        <v>5</v>
      </c>
      <c r="H26" s="142" t="s">
        <v>83</v>
      </c>
      <c r="I26" s="14">
        <f t="shared" si="0"/>
        <v>0.75</v>
      </c>
      <c r="J26" s="100">
        <f t="shared" si="1"/>
        <v>1.0416666666666667E-3</v>
      </c>
      <c r="K26" s="62" t="str">
        <f t="shared" si="2"/>
        <v>Atenção</v>
      </c>
      <c r="L26" s="173"/>
      <c r="M26" s="173"/>
      <c r="N26" s="173"/>
      <c r="O26" s="173"/>
      <c r="P26" s="173"/>
      <c r="Q26" s="103" t="s">
        <v>498</v>
      </c>
    </row>
    <row r="27" spans="1:17" s="27" customFormat="1" ht="29.25" thickBot="1" x14ac:dyDescent="0.3">
      <c r="A27" s="57">
        <v>14</v>
      </c>
      <c r="B27" s="55" t="str">
        <f>IFERROR(IF(Desempenho!G25&gt;=Começo!D27,"▲","▼"),IF(AND(fev!G25&gt;=Começo!D27,"▲","▼"),IF(AND(mar!G25&gt;=Começo!D27,"▲","▼"),IF(AND(abr!G25&gt;=Começo!D27,"▲","▼"),IF(AND(maio!G25&gt;=Começo!D27,"▲","▼"),IF(AND(jun!G25&gt;=Começo!D27,"▲","▼"),IF(AND(jul!G25&gt;=Começo!D27,"▲","▼"),IF(AND(ago!G25&gt;=Começo!D27,"▲","▼"),IF(AND(set!G25&gt;=Começo!D27,"▲","▼"),IF(AND(out!G25&gt;=Começo!D27,"▲","▼"),IF(AND(nov!G25&gt;=Começo!D27,"▲","▼"),IF(AND(dez!G25&gt;=Começo!D27,"▲","▼"),"?"))))))))))))</f>
        <v>▼</v>
      </c>
      <c r="C27" s="136" t="s">
        <v>520</v>
      </c>
      <c r="D27" s="137">
        <v>8.3333333333333329E-2</v>
      </c>
      <c r="E27" s="140">
        <v>13</v>
      </c>
      <c r="F27" s="141">
        <v>1</v>
      </c>
      <c r="G27" s="140">
        <v>13</v>
      </c>
      <c r="H27" s="142" t="s">
        <v>83</v>
      </c>
      <c r="I27" s="14">
        <f t="shared" si="0"/>
        <v>1</v>
      </c>
      <c r="J27" s="100" t="str">
        <f t="shared" si="1"/>
        <v/>
      </c>
      <c r="K27" s="62" t="str">
        <f t="shared" si="2"/>
        <v>Excelente</v>
      </c>
      <c r="L27" s="175"/>
      <c r="M27" s="175"/>
      <c r="N27" s="175"/>
      <c r="O27" s="175"/>
      <c r="P27" s="175"/>
      <c r="Q27" s="103" t="s">
        <v>499</v>
      </c>
    </row>
    <row r="28" spans="1:17" s="27" customFormat="1" ht="29.25" thickBot="1" x14ac:dyDescent="0.3">
      <c r="A28" s="57">
        <v>15</v>
      </c>
      <c r="B28" s="55" t="str">
        <f>IFERROR(IF(Desempenho!G26&gt;=Começo!D28,"▲","▼"),IF(AND(fev!G26&gt;=Começo!D28,"▲","▼"),IF(AND(mar!G26&gt;=Começo!D28,"▲","▼"),IF(AND(abr!G26&gt;=Começo!D28,"▲","▼"),IF(AND(maio!G26&gt;=Começo!D28,"▲","▼"),IF(AND(jun!G26&gt;=Começo!D28,"▲","▼"),IF(AND(jul!G26&gt;=Começo!D28,"▲","▼"),IF(AND(ago!G26&gt;=Começo!D28,"▲","▼"),IF(AND(set!G26&gt;=Começo!D28,"▲","▼"),IF(AND(out!G26&gt;=Começo!D28,"▲","▼"),IF(AND(nov!G26&gt;=Começo!D28,"▲","▼"),IF(AND(dez!G26&gt;=Começo!D28,"▲","▼"),"?"))))))))))))</f>
        <v>▼</v>
      </c>
      <c r="C28" s="136" t="s">
        <v>521</v>
      </c>
      <c r="D28" s="137">
        <v>6.25E-2</v>
      </c>
      <c r="E28" s="140">
        <v>5</v>
      </c>
      <c r="F28" s="141">
        <v>1</v>
      </c>
      <c r="G28" s="140">
        <v>5</v>
      </c>
      <c r="H28" s="142" t="s">
        <v>83</v>
      </c>
      <c r="I28" s="14">
        <f t="shared" si="0"/>
        <v>1</v>
      </c>
      <c r="J28" s="100" t="str">
        <f t="shared" si="1"/>
        <v/>
      </c>
      <c r="K28" s="62" t="str">
        <f t="shared" si="2"/>
        <v>Excelente</v>
      </c>
      <c r="L28" s="173"/>
      <c r="M28" s="173"/>
      <c r="N28" s="173"/>
      <c r="O28" s="173"/>
      <c r="P28" s="173"/>
      <c r="Q28" s="103" t="s">
        <v>500</v>
      </c>
    </row>
    <row r="29" spans="1:17" s="27" customFormat="1" ht="29.25" thickBot="1" x14ac:dyDescent="0.3">
      <c r="A29" s="57">
        <v>16</v>
      </c>
      <c r="B29" s="55" t="str">
        <f>IFERROR(IF(Desempenho!G27&gt;=Começo!D29,"▲","▼"),IF(AND(fev!G27&gt;=Começo!D29,"▲","▼"),IF(AND(mar!G27&gt;=Começo!D29,"▲","▼"),IF(AND(abr!G27&gt;=Começo!D29,"▲","▼"),IF(AND(maio!G27&gt;=Começo!D29,"▲","▼"),IF(AND(jun!G27&gt;=Começo!D29,"▲","▼"),IF(AND(jul!G27&gt;=Começo!D29,"▲","▼"),IF(AND(ago!G27&gt;=Começo!D29,"▲","▼"),IF(AND(set!G27&gt;=Começo!D29,"▲","▼"),IF(AND(out!G27&gt;=Começo!D29,"▲","▼"),IF(AND(nov!G27&gt;=Começo!D29,"▲","▼"),IF(AND(dez!G27&gt;=Começo!D29,"▲","▼"),"?"))))))))))))</f>
        <v>▼</v>
      </c>
      <c r="C29" s="136" t="s">
        <v>522</v>
      </c>
      <c r="D29" s="137">
        <v>4.1666666666666664E-2</v>
      </c>
      <c r="E29" s="140">
        <v>6</v>
      </c>
      <c r="F29" s="141">
        <v>1</v>
      </c>
      <c r="G29" s="140">
        <v>4</v>
      </c>
      <c r="H29" s="142" t="s">
        <v>83</v>
      </c>
      <c r="I29" s="14">
        <f t="shared" si="0"/>
        <v>0.66666666666666663</v>
      </c>
      <c r="J29" s="100" t="str">
        <f t="shared" si="1"/>
        <v/>
      </c>
      <c r="K29" s="62" t="str">
        <f t="shared" si="2"/>
        <v>Razoavel</v>
      </c>
      <c r="L29" s="174"/>
      <c r="M29" s="174"/>
      <c r="N29" s="174"/>
      <c r="O29" s="174"/>
      <c r="P29" s="174"/>
      <c r="Q29" s="103"/>
    </row>
    <row r="30" spans="1:17" s="27" customFormat="1" ht="28.5" x14ac:dyDescent="0.25">
      <c r="A30" s="102"/>
      <c r="B30" s="102"/>
      <c r="C30" s="102"/>
      <c r="D30" s="102"/>
      <c r="E30" s="102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  <c r="Q30" s="103"/>
    </row>
    <row r="31" spans="1:17" s="27" customFormat="1" ht="30" customHeight="1" x14ac:dyDescent="0.25">
      <c r="A31" s="102"/>
      <c r="B31" s="102"/>
      <c r="C31" s="102"/>
      <c r="D31" s="102"/>
      <c r="E31" s="102"/>
      <c r="F31" s="102"/>
      <c r="G31" s="102"/>
      <c r="H31" s="102"/>
      <c r="I31" s="102"/>
      <c r="J31" s="102"/>
      <c r="K31" s="102"/>
      <c r="L31" s="129"/>
      <c r="M31" s="129"/>
      <c r="N31" s="129"/>
      <c r="O31" s="129"/>
      <c r="P31" s="129"/>
      <c r="Q31" s="129"/>
    </row>
    <row r="32" spans="1:17" s="27" customFormat="1" ht="30" customHeight="1" x14ac:dyDescent="0.25">
      <c r="A32" s="102"/>
      <c r="B32" s="102"/>
      <c r="C32" s="102"/>
      <c r="D32" s="102"/>
      <c r="E32" s="102"/>
      <c r="F32" s="102"/>
      <c r="G32" s="102"/>
      <c r="H32" s="102"/>
      <c r="I32" s="102"/>
      <c r="J32" s="102"/>
      <c r="K32" s="102"/>
      <c r="L32" s="102"/>
      <c r="M32" s="102"/>
      <c r="N32" s="102"/>
      <c r="O32" s="102"/>
      <c r="P32" s="102"/>
      <c r="Q32" s="102"/>
    </row>
    <row r="33" spans="1:17" s="27" customFormat="1" ht="30" customHeight="1" x14ac:dyDescent="0.25">
      <c r="A33" s="102"/>
      <c r="B33" s="102"/>
      <c r="C33" s="102"/>
      <c r="D33" s="102"/>
      <c r="E33" s="102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  <c r="Q33" s="102"/>
    </row>
    <row r="34" spans="1:17" s="27" customFormat="1" ht="30" customHeight="1" x14ac:dyDescent="0.25">
      <c r="A34" s="102"/>
      <c r="B34" s="102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102"/>
      <c r="N34" s="102"/>
      <c r="O34" s="102"/>
      <c r="P34" s="102"/>
      <c r="Q34" s="102"/>
    </row>
    <row r="35" spans="1:17" s="27" customFormat="1" ht="30" customHeight="1" x14ac:dyDescent="0.25">
      <c r="A35" s="102"/>
      <c r="B35" s="102"/>
      <c r="C35" s="102"/>
      <c r="D35" s="102"/>
      <c r="E35" s="102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P35" s="102"/>
      <c r="Q35" s="102"/>
    </row>
    <row r="36" spans="1:17" s="27" customFormat="1" ht="30" customHeight="1" x14ac:dyDescent="0.25">
      <c r="A36" s="102"/>
      <c r="B36" s="102"/>
      <c r="C36" s="102"/>
      <c r="D36" s="102"/>
      <c r="E36" s="102"/>
      <c r="F36" s="102"/>
      <c r="G36" s="102"/>
      <c r="H36" s="102"/>
      <c r="I36" s="102"/>
      <c r="J36" s="102"/>
      <c r="K36" s="102"/>
      <c r="L36" s="102"/>
      <c r="M36" s="102"/>
      <c r="N36" s="102"/>
      <c r="O36" s="102"/>
      <c r="P36" s="102"/>
      <c r="Q36" s="102"/>
    </row>
    <row r="37" spans="1:17" s="27" customFormat="1" ht="30" customHeight="1" x14ac:dyDescent="0.25">
      <c r="A37" s="102"/>
      <c r="B37" s="102"/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  <c r="Q37" s="102"/>
    </row>
    <row r="38" spans="1:17" s="27" customFormat="1" ht="30" customHeight="1" x14ac:dyDescent="0.25">
      <c r="A38" s="102"/>
      <c r="B38" s="102"/>
      <c r="C38" s="102"/>
      <c r="D38" s="102"/>
      <c r="E38" s="102"/>
      <c r="F38" s="102"/>
      <c r="G38" s="102"/>
      <c r="H38" s="102"/>
      <c r="I38" s="102"/>
      <c r="J38" s="102"/>
      <c r="K38" s="102"/>
      <c r="L38" s="102"/>
      <c r="M38" s="102"/>
      <c r="N38" s="102"/>
      <c r="O38" s="102"/>
      <c r="P38" s="102"/>
      <c r="Q38" s="102"/>
    </row>
    <row r="39" spans="1:17" s="27" customFormat="1" ht="30" customHeight="1" x14ac:dyDescent="0.25">
      <c r="A39" s="102"/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  <c r="Q39" s="102"/>
    </row>
    <row r="40" spans="1:17" s="27" customFormat="1" ht="30" customHeight="1" x14ac:dyDescent="0.25">
      <c r="A40" s="102"/>
      <c r="B40" s="102"/>
      <c r="C40" s="102"/>
      <c r="D40" s="102"/>
      <c r="E40" s="102"/>
      <c r="F40" s="102"/>
      <c r="G40" s="102"/>
      <c r="H40" s="102"/>
      <c r="I40" s="102"/>
      <c r="J40" s="102"/>
      <c r="K40" s="102"/>
      <c r="L40" s="102"/>
      <c r="M40" s="102"/>
      <c r="N40" s="102"/>
      <c r="O40" s="102"/>
      <c r="P40" s="102"/>
      <c r="Q40" s="102"/>
    </row>
    <row r="41" spans="1:17" s="27" customFormat="1" ht="30" customHeight="1" x14ac:dyDescent="0.25">
      <c r="A41" s="102"/>
      <c r="B41" s="102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  <c r="Q41" s="102"/>
    </row>
    <row r="42" spans="1:17" s="27" customFormat="1" ht="30" customHeight="1" x14ac:dyDescent="0.25">
      <c r="A42" s="102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</row>
    <row r="43" spans="1:17" s="27" customFormat="1" ht="30" customHeight="1" x14ac:dyDescent="0.25">
      <c r="A43" s="102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</row>
    <row r="44" spans="1:17" ht="30" customHeight="1" x14ac:dyDescent="0.25"/>
    <row r="45" spans="1:17" ht="30" customHeight="1" x14ac:dyDescent="0.25"/>
    <row r="46" spans="1:17" ht="30" customHeight="1" x14ac:dyDescent="0.25"/>
    <row r="47" spans="1:17" ht="30" customHeight="1" x14ac:dyDescent="0.25"/>
    <row r="48" spans="1:17" ht="30" customHeight="1" x14ac:dyDescent="0.25"/>
    <row r="49" ht="30" customHeight="1" x14ac:dyDescent="0.25"/>
    <row r="50" ht="30" customHeight="1" x14ac:dyDescent="0.25"/>
    <row r="51" ht="30" customHeight="1" x14ac:dyDescent="0.25"/>
    <row r="52" ht="30" customHeight="1" x14ac:dyDescent="0.25"/>
    <row r="53" ht="30" customHeight="1" x14ac:dyDescent="0.25"/>
    <row r="54" ht="30" customHeight="1" x14ac:dyDescent="0.25"/>
    <row r="55" ht="30" customHeight="1" x14ac:dyDescent="0.25"/>
    <row r="56" ht="30" customHeight="1" x14ac:dyDescent="0.25"/>
    <row r="57" ht="30" customHeight="1" x14ac:dyDescent="0.25"/>
    <row r="58" ht="30" customHeight="1" x14ac:dyDescent="0.25"/>
    <row r="59" ht="30" customHeight="1" x14ac:dyDescent="0.25"/>
    <row r="60" ht="30" customHeight="1" x14ac:dyDescent="0.25"/>
    <row r="61" ht="30" customHeight="1" x14ac:dyDescent="0.25"/>
    <row r="62" ht="30" customHeight="1" x14ac:dyDescent="0.25"/>
    <row r="63" ht="30" customHeight="1" x14ac:dyDescent="0.25"/>
    <row r="64" ht="30" customHeight="1" x14ac:dyDescent="0.25"/>
    <row r="65" ht="30" customHeight="1" x14ac:dyDescent="0.25"/>
    <row r="66" ht="30" customHeight="1" x14ac:dyDescent="0.25"/>
    <row r="67" ht="30" customHeight="1" x14ac:dyDescent="0.25"/>
    <row r="68" ht="30" customHeight="1" x14ac:dyDescent="0.25"/>
    <row r="69" ht="30" customHeight="1" x14ac:dyDescent="0.25"/>
    <row r="70" ht="30" customHeight="1" x14ac:dyDescent="0.25"/>
    <row r="71" ht="30" customHeight="1" x14ac:dyDescent="0.25"/>
    <row r="72" ht="30" customHeight="1" x14ac:dyDescent="0.25"/>
    <row r="73" ht="30" customHeight="1" x14ac:dyDescent="0.25"/>
    <row r="74" ht="30" customHeight="1" x14ac:dyDescent="0.25"/>
    <row r="75" ht="30" customHeight="1" x14ac:dyDescent="0.25"/>
    <row r="76" ht="30" customHeight="1" x14ac:dyDescent="0.25"/>
    <row r="77" ht="30" customHeight="1" x14ac:dyDescent="0.25"/>
    <row r="78" ht="30" customHeight="1" x14ac:dyDescent="0.25"/>
    <row r="79" ht="30" customHeight="1" x14ac:dyDescent="0.25"/>
    <row r="80" ht="30" customHeight="1" x14ac:dyDescent="0.25"/>
    <row r="81" ht="30" customHeight="1" x14ac:dyDescent="0.25"/>
    <row r="82" ht="30" customHeight="1" x14ac:dyDescent="0.25"/>
    <row r="83" ht="30" customHeight="1" x14ac:dyDescent="0.25"/>
    <row r="84" ht="30" customHeight="1" x14ac:dyDescent="0.25"/>
    <row r="85" ht="30" customHeight="1" x14ac:dyDescent="0.25"/>
    <row r="86" ht="30" customHeight="1" x14ac:dyDescent="0.25"/>
    <row r="87" ht="30" customHeight="1" x14ac:dyDescent="0.25"/>
    <row r="88" ht="30" customHeight="1" x14ac:dyDescent="0.25"/>
    <row r="89" ht="30" customHeight="1" x14ac:dyDescent="0.25"/>
    <row r="90" ht="30" customHeight="1" x14ac:dyDescent="0.25"/>
    <row r="91" ht="30" customHeight="1" x14ac:dyDescent="0.25"/>
    <row r="92" ht="30" customHeight="1" x14ac:dyDescent="0.25"/>
    <row r="93" ht="30" customHeight="1" x14ac:dyDescent="0.25"/>
    <row r="94" ht="30" customHeight="1" x14ac:dyDescent="0.25"/>
    <row r="95" ht="30" customHeight="1" x14ac:dyDescent="0.25"/>
    <row r="96" ht="30" customHeight="1" x14ac:dyDescent="0.25"/>
    <row r="97" ht="30" customHeight="1" x14ac:dyDescent="0.25"/>
    <row r="98" ht="30" customHeight="1" x14ac:dyDescent="0.25"/>
    <row r="99" ht="30" customHeight="1" x14ac:dyDescent="0.25"/>
    <row r="100" ht="30" customHeight="1" x14ac:dyDescent="0.25"/>
    <row r="101" ht="30" customHeight="1" x14ac:dyDescent="0.25"/>
    <row r="102" ht="30" customHeight="1" x14ac:dyDescent="0.25"/>
    <row r="103" ht="30" customHeight="1" x14ac:dyDescent="0.25"/>
    <row r="104" ht="30" customHeight="1" x14ac:dyDescent="0.25"/>
    <row r="105" ht="30" customHeight="1" x14ac:dyDescent="0.25"/>
    <row r="106" ht="30" customHeight="1" x14ac:dyDescent="0.25"/>
    <row r="107" ht="30" customHeight="1" x14ac:dyDescent="0.25"/>
    <row r="108" ht="30" customHeight="1" x14ac:dyDescent="0.25"/>
    <row r="109" ht="30" customHeight="1" x14ac:dyDescent="0.25"/>
    <row r="110" ht="30" customHeight="1" x14ac:dyDescent="0.25"/>
    <row r="111" ht="30" customHeight="1" x14ac:dyDescent="0.25"/>
    <row r="112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  <row r="149" ht="30" customHeight="1" x14ac:dyDescent="0.25"/>
    <row r="150" ht="30" customHeight="1" x14ac:dyDescent="0.25"/>
    <row r="151" ht="30" customHeight="1" x14ac:dyDescent="0.25"/>
    <row r="152" ht="30" customHeight="1" x14ac:dyDescent="0.25"/>
    <row r="153" ht="30" customHeight="1" x14ac:dyDescent="0.25"/>
    <row r="154" ht="30" customHeight="1" x14ac:dyDescent="0.25"/>
    <row r="155" ht="30" customHeight="1" x14ac:dyDescent="0.25"/>
    <row r="156" ht="30" customHeight="1" x14ac:dyDescent="0.25"/>
    <row r="157" ht="30" customHeight="1" x14ac:dyDescent="0.25"/>
    <row r="158" ht="30" customHeight="1" x14ac:dyDescent="0.25"/>
    <row r="159" ht="30" customHeight="1" x14ac:dyDescent="0.25"/>
    <row r="160" ht="30" customHeight="1" x14ac:dyDescent="0.25"/>
    <row r="161" ht="30" customHeight="1" x14ac:dyDescent="0.25"/>
    <row r="162" ht="30" customHeight="1" x14ac:dyDescent="0.25"/>
    <row r="163" ht="30" customHeight="1" x14ac:dyDescent="0.25"/>
    <row r="164" ht="30" customHeight="1" x14ac:dyDescent="0.25"/>
    <row r="165" ht="30" customHeight="1" x14ac:dyDescent="0.25"/>
    <row r="166" ht="30" customHeight="1" x14ac:dyDescent="0.25"/>
    <row r="167" ht="30" customHeight="1" x14ac:dyDescent="0.25"/>
    <row r="168" ht="30" customHeight="1" x14ac:dyDescent="0.25"/>
    <row r="169" ht="30" customHeight="1" x14ac:dyDescent="0.25"/>
    <row r="170" ht="30" customHeight="1" x14ac:dyDescent="0.25"/>
    <row r="171" ht="30" customHeight="1" x14ac:dyDescent="0.25"/>
    <row r="172" ht="30" customHeight="1" x14ac:dyDescent="0.25"/>
    <row r="173" ht="30" customHeight="1" x14ac:dyDescent="0.25"/>
    <row r="174" ht="30" customHeight="1" x14ac:dyDescent="0.25"/>
    <row r="175" ht="30" customHeight="1" x14ac:dyDescent="0.25"/>
    <row r="176" ht="30" customHeight="1" x14ac:dyDescent="0.25"/>
    <row r="177" ht="30" customHeight="1" x14ac:dyDescent="0.25"/>
    <row r="178" ht="30" customHeight="1" x14ac:dyDescent="0.25"/>
    <row r="179" ht="30" customHeight="1" x14ac:dyDescent="0.25"/>
    <row r="180" ht="30" customHeight="1" x14ac:dyDescent="0.25"/>
    <row r="181" ht="30" customHeight="1" x14ac:dyDescent="0.25"/>
    <row r="182" ht="30" customHeight="1" x14ac:dyDescent="0.25"/>
    <row r="183" ht="30" customHeight="1" x14ac:dyDescent="0.25"/>
    <row r="184" ht="30" customHeight="1" x14ac:dyDescent="0.25"/>
    <row r="185" ht="30" customHeight="1" x14ac:dyDescent="0.25"/>
    <row r="186" ht="30" customHeight="1" x14ac:dyDescent="0.25"/>
    <row r="187" ht="30" customHeight="1" x14ac:dyDescent="0.25"/>
    <row r="188" ht="30" customHeight="1" x14ac:dyDescent="0.25"/>
    <row r="189" ht="30" customHeight="1" x14ac:dyDescent="0.25"/>
    <row r="190" ht="30" customHeight="1" x14ac:dyDescent="0.25"/>
    <row r="191" ht="30" customHeight="1" x14ac:dyDescent="0.25"/>
    <row r="192" ht="30" customHeight="1" x14ac:dyDescent="0.25"/>
    <row r="193" ht="30" customHeight="1" x14ac:dyDescent="0.25"/>
    <row r="194" ht="30" customHeight="1" x14ac:dyDescent="0.25"/>
    <row r="195" ht="30" customHeight="1" x14ac:dyDescent="0.25"/>
    <row r="196" ht="30" customHeight="1" x14ac:dyDescent="0.25"/>
    <row r="197" ht="30" customHeight="1" x14ac:dyDescent="0.25"/>
    <row r="198" ht="30" customHeight="1" x14ac:dyDescent="0.25"/>
    <row r="199" ht="30" customHeight="1" x14ac:dyDescent="0.25"/>
    <row r="200" ht="30" customHeight="1" x14ac:dyDescent="0.25"/>
    <row r="201" ht="30" customHeight="1" x14ac:dyDescent="0.25"/>
    <row r="202" ht="30" customHeight="1" x14ac:dyDescent="0.25"/>
    <row r="203" ht="30" customHeight="1" x14ac:dyDescent="0.25"/>
    <row r="204" ht="30" customHeight="1" x14ac:dyDescent="0.25"/>
    <row r="205" ht="30" customHeight="1" x14ac:dyDescent="0.25"/>
    <row r="206" ht="30" customHeight="1" x14ac:dyDescent="0.25"/>
    <row r="207" ht="30" customHeight="1" x14ac:dyDescent="0.25"/>
    <row r="208" ht="30" customHeight="1" x14ac:dyDescent="0.25"/>
    <row r="209" ht="30" customHeight="1" x14ac:dyDescent="0.25"/>
    <row r="210" ht="30" customHeight="1" x14ac:dyDescent="0.25"/>
    <row r="211" ht="30" customHeight="1" x14ac:dyDescent="0.25"/>
    <row r="212" ht="30" customHeight="1" x14ac:dyDescent="0.25"/>
    <row r="213" ht="20.100000000000001" customHeight="1" x14ac:dyDescent="0.25"/>
    <row r="214" ht="20.100000000000001" customHeight="1" x14ac:dyDescent="0.25"/>
    <row r="215" ht="20.100000000000001" customHeight="1" x14ac:dyDescent="0.25"/>
    <row r="216" ht="20.100000000000001" customHeight="1" x14ac:dyDescent="0.25"/>
    <row r="217" ht="20.100000000000001" customHeight="1" x14ac:dyDescent="0.25"/>
    <row r="218" ht="20.100000000000001" customHeight="1" x14ac:dyDescent="0.25"/>
    <row r="219" ht="20.100000000000001" customHeight="1" x14ac:dyDescent="0.25"/>
    <row r="220" ht="20.100000000000001" customHeight="1" x14ac:dyDescent="0.25"/>
    <row r="221" ht="20.100000000000001" customHeight="1" x14ac:dyDescent="0.25"/>
    <row r="222" ht="20.100000000000001" customHeight="1" x14ac:dyDescent="0.25"/>
    <row r="223" ht="20.100000000000001" customHeight="1" x14ac:dyDescent="0.25"/>
    <row r="224" ht="20.100000000000001" customHeight="1" x14ac:dyDescent="0.25"/>
    <row r="225" ht="20.100000000000001" customHeight="1" x14ac:dyDescent="0.25"/>
    <row r="226" ht="20.100000000000001" customHeight="1" x14ac:dyDescent="0.25"/>
    <row r="227" ht="20.100000000000001" customHeight="1" x14ac:dyDescent="0.25"/>
    <row r="228" ht="20.100000000000001" customHeight="1" x14ac:dyDescent="0.25"/>
    <row r="229" ht="20.100000000000001" customHeight="1" x14ac:dyDescent="0.25"/>
    <row r="230" ht="20.100000000000001" customHeight="1" x14ac:dyDescent="0.25"/>
    <row r="231" ht="20.100000000000001" customHeight="1" x14ac:dyDescent="0.25"/>
    <row r="232" ht="20.100000000000001" customHeight="1" x14ac:dyDescent="0.25"/>
    <row r="233" ht="20.100000000000001" customHeight="1" x14ac:dyDescent="0.25"/>
    <row r="234" ht="20.100000000000001" customHeight="1" x14ac:dyDescent="0.25"/>
    <row r="235" ht="20.100000000000001" customHeight="1" x14ac:dyDescent="0.25"/>
    <row r="236" ht="20.100000000000001" customHeight="1" x14ac:dyDescent="0.25"/>
    <row r="237" ht="20.100000000000001" customHeight="1" x14ac:dyDescent="0.25"/>
    <row r="238" ht="20.100000000000001" customHeight="1" x14ac:dyDescent="0.25"/>
    <row r="239" ht="20.100000000000001" customHeight="1" x14ac:dyDescent="0.25"/>
    <row r="240" ht="20.100000000000001" customHeight="1" x14ac:dyDescent="0.25"/>
    <row r="241" ht="20.100000000000001" customHeight="1" x14ac:dyDescent="0.25"/>
    <row r="242" ht="20.100000000000001" customHeight="1" x14ac:dyDescent="0.25"/>
  </sheetData>
  <sheetProtection algorithmName="SHA-512" hashValue="mSFNIP40K3qOXafX7clp1OWHEAddv9tAj3pC3QmbVynRX1tAZMxI2gKE88hhY+MKFRTVhx2/I00xfzgNR+AZgQ==" saltValue="wRSX4khmAJ+QgijK4bPwNw==" spinCount="100000" sheet="1"/>
  <mergeCells count="22">
    <mergeCell ref="I9:I11"/>
    <mergeCell ref="J9:J11"/>
    <mergeCell ref="M13:P13"/>
    <mergeCell ref="L14:P14"/>
    <mergeCell ref="L15:P15"/>
    <mergeCell ref="L16:P16"/>
    <mergeCell ref="L17:P17"/>
    <mergeCell ref="L7:L8"/>
    <mergeCell ref="M7:M8"/>
    <mergeCell ref="N11:N12"/>
    <mergeCell ref="L18:P18"/>
    <mergeCell ref="L19:P19"/>
    <mergeCell ref="L20:P20"/>
    <mergeCell ref="L21:P21"/>
    <mergeCell ref="L22:P22"/>
    <mergeCell ref="L28:P28"/>
    <mergeCell ref="L29:P29"/>
    <mergeCell ref="L23:P23"/>
    <mergeCell ref="L24:P24"/>
    <mergeCell ref="L25:P25"/>
    <mergeCell ref="L26:P26"/>
    <mergeCell ref="L27:P27"/>
  </mergeCells>
  <conditionalFormatting sqref="G10">
    <cfRule type="containsText" dxfId="220" priority="53" operator="containsText" text="Sim">
      <formula>NOT(ISERROR(SEARCH("Sim",G10)))</formula>
    </cfRule>
    <cfRule type="containsText" dxfId="219" priority="54" operator="containsText" text="Não">
      <formula>NOT(ISERROR(SEARCH("Não",G10)))</formula>
    </cfRule>
  </conditionalFormatting>
  <conditionalFormatting sqref="D11:F12 L7">
    <cfRule type="containsText" dxfId="218" priority="50" operator="containsText" text="Difícil">
      <formula>NOT(ISERROR(SEARCH("Difícil",D7)))</formula>
    </cfRule>
    <cfRule type="containsText" dxfId="217" priority="51" operator="containsText" text="Médio">
      <formula>NOT(ISERROR(SEARCH("Médio",D7)))</formula>
    </cfRule>
    <cfRule type="containsText" dxfId="216" priority="52" operator="containsText" text="Facíl">
      <formula>NOT(ISERROR(SEARCH("Facíl",D7)))</formula>
    </cfRule>
  </conditionalFormatting>
  <conditionalFormatting sqref="H14:H29">
    <cfRule type="containsText" dxfId="215" priority="41" operator="containsText" text="Difícil">
      <formula>NOT(ISERROR(SEARCH("Difícil",H14)))</formula>
    </cfRule>
    <cfRule type="containsText" dxfId="214" priority="42" operator="containsText" text="Médio">
      <formula>NOT(ISERROR(SEARCH("Médio",H14)))</formula>
    </cfRule>
    <cfRule type="containsText" dxfId="213" priority="43" operator="containsText" text="Facíl">
      <formula>NOT(ISERROR(SEARCH("Facíl",H14)))</formula>
    </cfRule>
  </conditionalFormatting>
  <conditionalFormatting sqref="I14:I29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{DFAD62D4-11AA-47DB-BBBE-9002837428DC}</x14:id>
        </ext>
      </extLst>
    </cfRule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{8096A1FB-76D5-4855-A02A-A1EF78F95E5D}</x14:id>
        </ext>
      </extLst>
    </cfRule>
    <cfRule type="dataBar" priority="29">
      <dataBar>
        <cfvo type="min"/>
        <cfvo type="max"/>
        <color rgb="FF269633"/>
      </dataBar>
      <extLst>
        <ext xmlns:x14="http://schemas.microsoft.com/office/spreadsheetml/2009/9/main" uri="{B025F937-C7B1-47D3-B67F-A62EFF666E3E}">
          <x14:id>{915392F1-263A-4D3D-BCF6-4DAE81E87508}</x14:id>
        </ext>
      </extLst>
    </cfRule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{6DD6E634-BD27-4F83-8858-8299E0A84F30}</x14:id>
        </ext>
      </extLst>
    </cfRule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{7E877F6E-B995-41C3-8BA9-EAF7FC35BD3F}</x14:id>
        </ext>
      </extLst>
    </cfRule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{7742C18F-645F-4D4C-A1A5-A262A4EE8799}</x14:id>
        </ext>
      </extLst>
    </cfRule>
    <cfRule type="dataBar" priority="35">
      <dataBar>
        <cfvo type="num" val="0"/>
        <cfvo type="max"/>
        <color rgb="FF638EC6"/>
      </dataBar>
      <extLst>
        <ext xmlns:x14="http://schemas.microsoft.com/office/spreadsheetml/2009/9/main" uri="{B025F937-C7B1-47D3-B67F-A62EFF666E3E}">
          <x14:id>{93126A0A-C88A-4EC3-9255-C2639865E47D}</x14:id>
        </ext>
      </extLst>
    </cfRule>
  </conditionalFormatting>
  <conditionalFormatting sqref="B14:B29">
    <cfRule type="containsText" dxfId="212" priority="22" operator="containsText" text="▲">
      <formula>NOT(ISERROR(SEARCH("▲",B14)))</formula>
    </cfRule>
    <cfRule type="containsText" dxfId="211" priority="23" operator="containsText" text="▼">
      <formula>NOT(ISERROR(SEARCH("▼",B14)))</formula>
    </cfRule>
    <cfRule type="iconSet" priority="32">
      <iconSet iconSet="3Signs">
        <cfvo type="percent" val="0"/>
        <cfvo type="percent" val="33"/>
        <cfvo type="percent" val="67"/>
      </iconSet>
    </cfRule>
  </conditionalFormatting>
  <conditionalFormatting sqref="I14:I29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{03897832-11A8-4480-876F-4C55350C1AF1}</x14:id>
        </ext>
      </extLst>
    </cfRule>
  </conditionalFormatting>
  <conditionalFormatting sqref="I9">
    <cfRule type="containsText" dxfId="210" priority="19" operator="containsText" text="Difícil">
      <formula>NOT(ISERROR(SEARCH("Difícil",I9)))</formula>
    </cfRule>
    <cfRule type="containsText" dxfId="209" priority="20" operator="containsText" text="Médio">
      <formula>NOT(ISERROR(SEARCH("Médio",I9)))</formula>
    </cfRule>
    <cfRule type="containsText" dxfId="208" priority="21" operator="containsText" text="Facíl">
      <formula>NOT(ISERROR(SEARCH("Facíl",I9)))</formula>
    </cfRule>
  </conditionalFormatting>
  <conditionalFormatting sqref="K14:K29">
    <cfRule type="containsText" dxfId="207" priority="8" operator="containsText" text="Ruim">
      <formula>NOT(ISERROR(SEARCH("Ruim",K14)))</formula>
    </cfRule>
    <cfRule type="containsText" dxfId="206" priority="9" operator="containsText" text="Atenção">
      <formula>NOT(ISERROR(SEARCH("Atenção",K14)))</formula>
    </cfRule>
    <cfRule type="containsText" dxfId="205" priority="10" operator="containsText" text="Razoavel">
      <formula>NOT(ISERROR(SEARCH("Razoavel",K14)))</formula>
    </cfRule>
    <cfRule type="containsText" dxfId="204" priority="11" operator="containsText" text="Bom">
      <formula>NOT(ISERROR(SEARCH("Bom",K14)))</formula>
    </cfRule>
    <cfRule type="containsText" dxfId="203" priority="12" operator="containsText" text="Excelente">
      <formula>NOT(ISERROR(SEARCH("Excelente",K14)))</formula>
    </cfRule>
    <cfRule type="containsText" dxfId="202" priority="13" operator="containsText" text="♦">
      <formula>NOT(ISERROR(SEARCH("♦",K14)))</formula>
    </cfRule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{DBC8127F-9FF7-4918-AE3E-07D9DF390A5E}</x14:id>
        </ext>
      </extLst>
    </cfRule>
    <cfRule type="containsText" dxfId="201" priority="15" operator="containsText" text="♦">
      <formula>NOT(ISERROR(SEARCH("♦",K14)))</formula>
    </cfRule>
    <cfRule type="containsText" dxfId="200" priority="16" operator="containsText" text="♦♦♦♦">
      <formula>NOT(ISERROR(SEARCH("♦♦♦♦",K14)))</formula>
    </cfRule>
    <cfRule type="containsText" dxfId="199" priority="17" operator="containsText" text="♦♦♦♦♦">
      <formula>NOT(ISERROR(SEARCH("♦♦♦♦♦",K14)))</formula>
    </cfRule>
  </conditionalFormatting>
  <conditionalFormatting sqref="B14:B29">
    <cfRule type="cellIs" dxfId="198" priority="1" operator="between">
      <formula>$D$9</formula>
      <formula>$G$9</formula>
    </cfRule>
  </conditionalFormatting>
  <dataValidations count="3">
    <dataValidation type="list" allowBlank="1" showInputMessage="1" showErrorMessage="1" sqref="G10" xr:uid="{00000000-0002-0000-0000-000000000000}">
      <formula1>"Sim,Não"</formula1>
    </dataValidation>
    <dataValidation type="list" allowBlank="1" showInputMessage="1" showErrorMessage="1" sqref="H14:H29 D11" xr:uid="{00000000-0002-0000-0000-000001000000}">
      <formula1>"Facíl,Médio,Difícil"</formula1>
    </dataValidation>
    <dataValidation type="list" allowBlank="1" showInputMessage="1" showErrorMessage="1" sqref="F14:F29" xr:uid="{00000000-0002-0000-0000-000002000000}">
      <mc:AlternateContent xmlns:x12ac="http://schemas.microsoft.com/office/spreadsheetml/2011/1/ac" xmlns:mc="http://schemas.openxmlformats.org/markup-compatibility/2006">
        <mc:Choice Requires="x12ac">
          <x12ac:list>1,"1,5",2,"2,5",3</x12ac:list>
        </mc:Choice>
        <mc:Fallback>
          <formula1>"1,1,5,2,2,5,3"</formula1>
        </mc:Fallback>
      </mc:AlternateContent>
    </dataValidation>
  </dataValidations>
  <hyperlinks>
    <hyperlink ref="C7" r:id="rId1" tooltip="Site de Simulado" xr:uid="{00000000-0004-0000-0000-000000000000}"/>
    <hyperlink ref="L7:L8" r:id="rId2" tooltip="Pagina de Pesquisa do Google" display="Google" xr:uid="{00000000-0004-0000-0000-000001000000}"/>
    <hyperlink ref="M7:M8" r:id="rId3" tooltip="Pagina do Youtube " display="Youtube" xr:uid="{00000000-0004-0000-0000-000002000000}"/>
  </hyperlinks>
  <pageMargins left="0.511811024" right="0.511811024" top="0.78740157499999996" bottom="0.78740157499999996" header="0.31496062000000002" footer="0.31496062000000002"/>
  <pageSetup paperSize="9" orientation="portrait" horizontalDpi="4294967293" verticalDpi="0" r:id="rId4"/>
  <drawing r:id="rId5"/>
  <legacyDrawing r:id="rId6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AD62D4-11AA-47DB-BBBE-9002837428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096A1FB-76D5-4855-A02A-A1EF78F95E5D}">
            <x14:dataBar minLength="0" maxLength="100" border="1" direction="rightToLeft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915392F1-263A-4D3D-BCF6-4DAE81E87508}">
            <x14:dataBar minLength="0" maxLength="100" direction="rightToLeft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D6E634-BD27-4F83-8858-8299E0A84F30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7E877F6E-B995-41C3-8BA9-EAF7FC35BD3F}">
            <x14:dataBar minLength="0" maxLength="100" direction="rightToLeft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2C18F-645F-4D4C-A1A5-A262A4EE8799}">
            <x14:dataBar minLength="0" maxLength="100" border="1" direction="leftToRight">
              <x14:cfvo type="autoMin"/>
              <x14:cfvo type="autoMax"/>
              <x14:borderColor theme="2" tint="-9.9978637043366805E-2"/>
              <x14:negativeFillColor rgb="FFFF0000"/>
              <x14:axisColor rgb="FF000000"/>
            </x14:dataBar>
          </x14:cfRule>
          <x14:cfRule type="dataBar" id="{93126A0A-C88A-4EC3-9255-C2639865E47D}">
            <x14:dataBar minLength="0" maxLength="100" direction="leftToRight">
              <x14:cfvo type="num">
                <xm:f>0</xm:f>
              </x14:cfvo>
              <x14:cfvo type="autoMax"/>
              <x14:negativeFillColor rgb="FFFF0000"/>
              <x14:axisColor rgb="FF000000"/>
            </x14:dataBar>
          </x14:cfRule>
          <xm:sqref>I14:I29</xm:sqref>
        </x14:conditionalFormatting>
        <x14:conditionalFormatting xmlns:xm="http://schemas.microsoft.com/office/excel/2006/main">
          <x14:cfRule type="dataBar" id="{03897832-11A8-4480-876F-4C55350C1AF1}">
            <x14:dataBar minLength="0" maxLength="100" gradient="0">
              <x14:cfvo type="autoMin"/>
              <x14:cfvo type="autoMax"/>
              <x14:negativeFillColor rgb="FFFF0000"/>
              <x14:axisColor theme="0"/>
            </x14:dataBar>
          </x14:cfRule>
          <xm:sqref>I14:I29</xm:sqref>
        </x14:conditionalFormatting>
        <x14:conditionalFormatting xmlns:xm="http://schemas.microsoft.com/office/excel/2006/main">
          <x14:cfRule type="dataBar" id="{DBC8127F-9FF7-4918-AE3E-07D9DF390A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K14:K29</xm:sqref>
        </x14:conditionalFormatting>
        <x14:conditionalFormatting xmlns:xm="http://schemas.microsoft.com/office/excel/2006/main">
          <x14:cfRule type="iconSet" priority="18" id="{BDD6467D-6C37-4D5F-8574-77B68D724B26}">
            <x14:iconSet iconSet="3Stars" showValue="0">
              <x14:cfvo type="percent">
                <xm:f>0</xm:f>
              </x14:cfvo>
              <x14:cfvo type="percent">
                <xm:f>45</xm:f>
              </x14:cfvo>
              <x14:cfvo type="percent">
                <xm:f>91</xm:f>
              </x14:cfvo>
            </x14:iconSet>
          </x14:cfRule>
          <xm:sqref>K14:K29</xm:sqref>
        </x14:conditionalFormatting>
        <x14:conditionalFormatting xmlns:xm="http://schemas.microsoft.com/office/excel/2006/main">
          <x14:cfRule type="iconSet" priority="2" id="{C2F196A0-8E0C-4665-BAED-386980D5E323}">
            <x14:iconSet iconSet="3Signs" showValue="0">
              <x14:cfvo type="percent">
                <xm:f>0</xm:f>
              </x14:cfvo>
              <x14:cfvo type="num">
                <xm:f>$D$14=""</xm:f>
              </x14:cfvo>
              <x14:cfvo type="num">
                <xm:f>Desempenho!$G$12=$D$14</xm:f>
              </x14:cfvo>
            </x14:iconSet>
          </x14:cfRule>
          <x14:cfRule type="iconSet" priority="4" id="{39F105FA-8CB3-41B7-8BA6-72C2AC65915D}">
            <x14:iconSet iconSet="3Signs">
              <x14:cfvo type="percent">
                <xm:f>0</xm:f>
              </x14:cfvo>
              <x14:cfvo type="formula">
                <xm:f>COUNTA($D$14)</xm:f>
              </x14:cfvo>
              <x14:cfvo type="num">
                <xm:f>$D$14=Desempenho!$G$12</xm:f>
              </x14:cfvo>
            </x14:iconSet>
          </x14:cfRule>
          <x14:cfRule type="iconSet" priority="5" id="{39831541-7289-4F2A-891F-9BE51F63790B}">
            <x14:iconSet iconSet="3Signs" showValue="0" custom="1">
              <x14:cfvo type="percent">
                <xm:f>0</xm:f>
              </x14:cfvo>
              <x14:cfvo type="num" gte="0">
                <xm:f>Desempenho!$G$12&lt;=0.5</xm:f>
              </x14:cfvo>
              <x14:cfvo type="num">
                <xm:f>Desempenho!$G$12</xm:f>
              </x14:cfvo>
              <x14:cfIcon iconSet="3Signs" iconId="0"/>
              <x14:cfIcon iconSet="3Signs" iconId="1"/>
              <x14:cfIcon iconSet="3TrafficLights1" iconId="2"/>
            </x14:iconSet>
          </x14:cfRule>
          <xm:sqref>B14:B29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 xr:uid="{00000000-0002-0000-0000-000003000000}">
          <x14:formula1>
            <xm:f>'Materia 1'!$B$6:$B$30</xm:f>
          </x14:formula1>
          <xm:sqref>L14:P14</xm:sqref>
        </x14:dataValidation>
        <x14:dataValidation type="list" allowBlank="1" showInputMessage="1" showErrorMessage="1" xr:uid="{00000000-0002-0000-0000-000004000000}">
          <x14:formula1>
            <xm:f>'Materia 2'!$B$6:$B$30</xm:f>
          </x14:formula1>
          <xm:sqref>L15:P15</xm:sqref>
        </x14:dataValidation>
        <x14:dataValidation type="list" allowBlank="1" showInputMessage="1" showErrorMessage="1" xr:uid="{00000000-0002-0000-0000-000005000000}">
          <x14:formula1>
            <xm:f>'Materia 3'!$B$6:$B$30</xm:f>
          </x14:formula1>
          <xm:sqref>L16:P16</xm:sqref>
        </x14:dataValidation>
        <x14:dataValidation type="list" allowBlank="1" showInputMessage="1" showErrorMessage="1" xr:uid="{00000000-0002-0000-0000-000006000000}">
          <x14:formula1>
            <xm:f>'Materia 4'!$B$6:$B$30</xm:f>
          </x14:formula1>
          <xm:sqref>L17:P17</xm:sqref>
        </x14:dataValidation>
        <x14:dataValidation type="list" allowBlank="1" showInputMessage="1" showErrorMessage="1" xr:uid="{00000000-0002-0000-0000-000007000000}">
          <x14:formula1>
            <xm:f>'Materia 5'!$B$6:$B$30</xm:f>
          </x14:formula1>
          <xm:sqref>L18:P18</xm:sqref>
        </x14:dataValidation>
        <x14:dataValidation type="list" allowBlank="1" showInputMessage="1" showErrorMessage="1" xr:uid="{00000000-0002-0000-0000-000008000000}">
          <x14:formula1>
            <xm:f>'Materia 6'!$B$6:$B$30</xm:f>
          </x14:formula1>
          <xm:sqref>L19:P19</xm:sqref>
        </x14:dataValidation>
        <x14:dataValidation type="list" allowBlank="1" showInputMessage="1" showErrorMessage="1" xr:uid="{00000000-0002-0000-0000-000009000000}">
          <x14:formula1>
            <xm:f>'Materia 7'!$B$6:$B$30</xm:f>
          </x14:formula1>
          <xm:sqref>L20:P20</xm:sqref>
        </x14:dataValidation>
        <x14:dataValidation type="list" allowBlank="1" showInputMessage="1" showErrorMessage="1" xr:uid="{00000000-0002-0000-0000-00000A000000}">
          <x14:formula1>
            <xm:f>'Materia 8'!$B$6:$B$30</xm:f>
          </x14:formula1>
          <xm:sqref>L21:P21</xm:sqref>
        </x14:dataValidation>
        <x14:dataValidation type="list" allowBlank="1" showInputMessage="1" showErrorMessage="1" xr:uid="{00000000-0002-0000-0000-00000B000000}">
          <x14:formula1>
            <xm:f>'Materia 9'!$B$6:$B$30</xm:f>
          </x14:formula1>
          <xm:sqref>L22:P22</xm:sqref>
        </x14:dataValidation>
        <x14:dataValidation type="list" allowBlank="1" showInputMessage="1" showErrorMessage="1" xr:uid="{00000000-0002-0000-0000-00000C000000}">
          <x14:formula1>
            <xm:f>'Materia 10'!$B$6:$B$30</xm:f>
          </x14:formula1>
          <xm:sqref>L23:P23</xm:sqref>
        </x14:dataValidation>
        <x14:dataValidation type="list" allowBlank="1" showInputMessage="1" showErrorMessage="1" xr:uid="{00000000-0002-0000-0000-00000D000000}">
          <x14:formula1>
            <xm:f>'Materia 11'!$B$6:$B$30</xm:f>
          </x14:formula1>
          <xm:sqref>L24:P24</xm:sqref>
        </x14:dataValidation>
        <x14:dataValidation type="list" allowBlank="1" showInputMessage="1" showErrorMessage="1" xr:uid="{00000000-0002-0000-0000-00000E000000}">
          <x14:formula1>
            <xm:f>'Materia 12'!$B$6:$B$30</xm:f>
          </x14:formula1>
          <xm:sqref>L25:P25</xm:sqref>
        </x14:dataValidation>
        <x14:dataValidation type="list" allowBlank="1" showInputMessage="1" showErrorMessage="1" xr:uid="{00000000-0002-0000-0000-00000F000000}">
          <x14:formula1>
            <xm:f>'Materia 13'!$B$6:$B$30</xm:f>
          </x14:formula1>
          <xm:sqref>L26:P26</xm:sqref>
        </x14:dataValidation>
        <x14:dataValidation type="list" allowBlank="1" showInputMessage="1" showErrorMessage="1" xr:uid="{00000000-0002-0000-0000-000010000000}">
          <x14:formula1>
            <xm:f>'Materia 14'!$B$6:$B$30</xm:f>
          </x14:formula1>
          <xm:sqref>L27:P27</xm:sqref>
        </x14:dataValidation>
        <x14:dataValidation type="list" allowBlank="1" showInputMessage="1" showErrorMessage="1" xr:uid="{00000000-0002-0000-0000-000011000000}">
          <x14:formula1>
            <xm:f>'Materia 15'!$B$6:$B$30</xm:f>
          </x14:formula1>
          <xm:sqref>L28:P28</xm:sqref>
        </x14:dataValidation>
        <x14:dataValidation type="list" allowBlank="1" showInputMessage="1" showErrorMessage="1" xr:uid="{00000000-0002-0000-0000-000012000000}">
          <x14:formula1>
            <xm:f>'Materia 16'!$B$6:$B$30</xm:f>
          </x14:formula1>
          <xm:sqref>L29:P29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U31"/>
  <sheetViews>
    <sheetView showGridLines="0" showRowColHeaders="0" workbookViewId="0">
      <pane xSplit="2" topLeftCell="C1" activePane="topRight" state="frozen"/>
      <selection activeCell="B1" sqref="B1"/>
      <selection pane="topRight" activeCell="Q25" sqref="Q25"/>
    </sheetView>
  </sheetViews>
  <sheetFormatPr defaultRowHeight="15" x14ac:dyDescent="0.25"/>
  <cols>
    <col min="1" max="1" width="4.28515625" style="27" customWidth="1"/>
    <col min="2" max="2" width="38.5703125" style="27" customWidth="1"/>
    <col min="3" max="3" width="42.42578125" style="27" customWidth="1"/>
    <col min="4" max="4" width="3.5703125" style="27" customWidth="1"/>
    <col min="5" max="5" width="15.140625" style="27" customWidth="1"/>
    <col min="6" max="6" width="15.85546875" style="27" bestFit="1" customWidth="1"/>
    <col min="7" max="7" width="14" style="27" bestFit="1" customWidth="1"/>
    <col min="8" max="8" width="8.42578125" style="27" bestFit="1" customWidth="1"/>
    <col min="9" max="9" width="10.140625" style="27" customWidth="1"/>
    <col min="10" max="10" width="12.7109375" style="27" bestFit="1" customWidth="1"/>
    <col min="11" max="18" width="16.7109375" style="27" customWidth="1"/>
    <col min="19" max="16384" width="9.140625" style="27"/>
  </cols>
  <sheetData>
    <row r="1" spans="1:21" s="38" customFormat="1" x14ac:dyDescent="0.25"/>
    <row r="2" spans="1:21" s="38" customFormat="1" x14ac:dyDescent="0.25"/>
    <row r="3" spans="1:21" s="38" customFormat="1" x14ac:dyDescent="0.25"/>
    <row r="4" spans="1:21" s="38" customFormat="1" x14ac:dyDescent="0.25">
      <c r="E4" s="39"/>
      <c r="F4" s="40"/>
      <c r="G4" s="40"/>
      <c r="H4" s="40"/>
    </row>
    <row r="5" spans="1:21" s="63" customFormat="1" ht="3.95" customHeight="1" x14ac:dyDescent="0.25">
      <c r="E5" s="64"/>
      <c r="F5" s="65"/>
      <c r="G5" s="65"/>
      <c r="H5" s="65"/>
    </row>
    <row r="6" spans="1:21" ht="15" customHeight="1" x14ac:dyDescent="0.25">
      <c r="E6" s="53"/>
      <c r="F6" s="54"/>
      <c r="G6" s="54"/>
      <c r="H6" s="54"/>
    </row>
    <row r="7" spans="1:21" ht="15" customHeight="1" x14ac:dyDescent="0.25">
      <c r="A7" s="192"/>
      <c r="B7" s="192"/>
      <c r="C7" s="18"/>
      <c r="D7" s="18"/>
      <c r="E7" s="53"/>
      <c r="F7" s="54"/>
      <c r="G7" s="54"/>
      <c r="H7" s="54"/>
      <c r="T7" s="188"/>
      <c r="U7" s="188"/>
    </row>
    <row r="8" spans="1:21" ht="16.5" x14ac:dyDescent="0.25">
      <c r="A8" s="191" t="s">
        <v>506</v>
      </c>
      <c r="B8" s="191"/>
      <c r="C8" s="191" t="s">
        <v>505</v>
      </c>
      <c r="D8" s="191"/>
      <c r="E8" s="191"/>
      <c r="F8" s="191"/>
      <c r="G8" s="191"/>
      <c r="H8" s="191"/>
      <c r="I8" s="191"/>
      <c r="J8" s="191"/>
      <c r="K8" s="30"/>
      <c r="L8" s="30"/>
      <c r="M8" s="30"/>
      <c r="N8" s="30"/>
      <c r="O8" s="30"/>
      <c r="P8" s="30"/>
      <c r="Q8" s="30"/>
      <c r="R8" s="30"/>
      <c r="T8" s="188"/>
      <c r="U8" s="188"/>
    </row>
    <row r="9" spans="1:21" x14ac:dyDescent="0.25">
      <c r="A9" s="190" t="s">
        <v>482</v>
      </c>
      <c r="B9" s="190"/>
      <c r="C9" s="187" t="str">
        <f>IFERROR(IF(acertos/dados2="","",acertos/dados2),"")</f>
        <v/>
      </c>
      <c r="D9" s="187"/>
      <c r="E9" s="187"/>
      <c r="F9" s="187"/>
      <c r="G9" s="187"/>
      <c r="H9" s="187"/>
      <c r="I9" s="187"/>
      <c r="J9" s="187"/>
      <c r="K9" s="102"/>
      <c r="L9" s="102"/>
      <c r="M9" s="102"/>
      <c r="N9" s="102"/>
      <c r="O9" s="102"/>
      <c r="P9" s="102"/>
      <c r="Q9" s="102"/>
      <c r="R9" s="102"/>
    </row>
    <row r="10" spans="1:21" ht="23.25" customHeight="1" x14ac:dyDescent="0.25">
      <c r="A10" s="190"/>
      <c r="B10" s="190"/>
      <c r="C10" s="187"/>
      <c r="D10" s="187"/>
      <c r="E10" s="187"/>
      <c r="F10" s="187"/>
      <c r="G10" s="187"/>
      <c r="H10" s="187"/>
      <c r="I10" s="187"/>
      <c r="J10" s="187"/>
      <c r="K10" s="70">
        <v>1</v>
      </c>
      <c r="L10" s="70">
        <v>7</v>
      </c>
      <c r="M10" s="70">
        <v>15</v>
      </c>
      <c r="N10" s="70">
        <v>30</v>
      </c>
      <c r="O10" s="70">
        <v>45</v>
      </c>
      <c r="P10" s="70">
        <v>60</v>
      </c>
      <c r="Q10" s="70">
        <v>75</v>
      </c>
      <c r="R10" s="70">
        <v>90</v>
      </c>
    </row>
    <row r="11" spans="1:21" ht="16.5" x14ac:dyDescent="0.25">
      <c r="A11" s="189"/>
      <c r="B11" s="189"/>
      <c r="C11" s="29"/>
      <c r="D11" s="29"/>
      <c r="E11" s="30"/>
      <c r="F11" s="30"/>
      <c r="G11" s="30"/>
      <c r="H11" s="30"/>
      <c r="I11" s="30"/>
      <c r="J11" s="30"/>
      <c r="K11" s="72" t="s">
        <v>484</v>
      </c>
      <c r="L11" s="72" t="s">
        <v>485</v>
      </c>
      <c r="M11" s="72" t="s">
        <v>486</v>
      </c>
      <c r="N11" s="72" t="s">
        <v>100</v>
      </c>
      <c r="O11" s="72" t="s">
        <v>487</v>
      </c>
      <c r="P11" s="72" t="s">
        <v>137</v>
      </c>
      <c r="Q11" s="72" t="s">
        <v>138</v>
      </c>
      <c r="R11" s="72" t="s">
        <v>140</v>
      </c>
    </row>
    <row r="12" spans="1:21" ht="30" customHeight="1" thickBot="1" x14ac:dyDescent="0.3">
      <c r="A12" s="26"/>
      <c r="B12" s="25" t="s">
        <v>94</v>
      </c>
      <c r="C12" s="60" t="s">
        <v>99</v>
      </c>
      <c r="D12" s="68" t="s">
        <v>481</v>
      </c>
      <c r="E12" s="15" t="s">
        <v>90</v>
      </c>
      <c r="F12" s="15" t="s">
        <v>91</v>
      </c>
      <c r="G12" s="15" t="s">
        <v>85</v>
      </c>
      <c r="H12" s="15" t="s">
        <v>101</v>
      </c>
      <c r="I12" s="15" t="s">
        <v>81</v>
      </c>
      <c r="J12" s="15" t="s">
        <v>93</v>
      </c>
      <c r="K12" s="71" t="s">
        <v>95</v>
      </c>
      <c r="L12" s="71" t="s">
        <v>96</v>
      </c>
      <c r="M12" s="71" t="s">
        <v>97</v>
      </c>
      <c r="N12" s="71" t="s">
        <v>98</v>
      </c>
      <c r="O12" s="71" t="s">
        <v>136</v>
      </c>
      <c r="P12" s="71" t="s">
        <v>135</v>
      </c>
      <c r="Q12" s="71" t="s">
        <v>139</v>
      </c>
      <c r="R12" s="71" t="s">
        <v>141</v>
      </c>
    </row>
    <row r="13" spans="1:21" ht="30" customHeight="1" thickTop="1" thickBot="1" x14ac:dyDescent="0.3">
      <c r="A13" s="26">
        <v>1</v>
      </c>
      <c r="B13" s="96" t="str">
        <f>VLOOKUP(A13,Começo!A:D,3,0)</f>
        <v>Português</v>
      </c>
      <c r="C13" s="144" t="s">
        <v>525</v>
      </c>
      <c r="D13" s="69" t="str">
        <f>HYPERLINK(Calculos!$I$1&amp;Calculos!H1&amp;Calculos!H18,"@")</f>
        <v>@</v>
      </c>
      <c r="E13" s="147">
        <v>45363</v>
      </c>
      <c r="F13" s="148">
        <v>30</v>
      </c>
      <c r="G13" s="148">
        <v>23</v>
      </c>
      <c r="H13" s="22">
        <f>IFERROR(G13/F13,"")</f>
        <v>0.76666666666666672</v>
      </c>
      <c r="I13" s="151">
        <v>2</v>
      </c>
      <c r="J13" s="23" t="str">
        <f>IF(E13="","",IF(AND(K13&lt;=E13,L13&lt;&gt;1),"Revisão 1",IF(AND(L13&lt;=E13,M13&lt;&gt;1),"Revisão 2",IF(AND(M13&lt;=E13,N13&lt;&gt;1),"Revisão 3",IF(AND(N13&lt;=E13,O13&lt;&gt;1),"Revisão 4",IF(AND(O13&lt;=E13,P13&lt;&gt;1),"Revisão 5",IF(AND(P13&lt;=E13,Q13&lt;&gt;1),"Revisão 6",IF(AND(Q13&lt;=E13,R13&lt;&gt;1),"Revisão 7",IF(AND(R13&lt;=E13,S13&lt;&gt;1),"Revisão 8")))))))))</f>
        <v>Revisão 4</v>
      </c>
      <c r="K13" s="153">
        <v>45364</v>
      </c>
      <c r="L13" s="153">
        <v>45370</v>
      </c>
      <c r="M13" s="153">
        <v>45378</v>
      </c>
      <c r="N13" s="153"/>
      <c r="O13" s="153"/>
      <c r="P13" s="153"/>
      <c r="Q13" s="153"/>
      <c r="R13" s="153"/>
    </row>
    <row r="14" spans="1:21" ht="30" customHeight="1" thickTop="1" thickBot="1" x14ac:dyDescent="0.3">
      <c r="A14" s="26">
        <v>2</v>
      </c>
      <c r="B14" s="97" t="str">
        <f>VLOOKUP(A14,Começo!A:D,3,0)</f>
        <v>Matemática</v>
      </c>
      <c r="C14" s="145" t="s">
        <v>526</v>
      </c>
      <c r="D14" s="69" t="str">
        <f>HYPERLINK(Calculos!$I$1&amp;Calculos!H2&amp;Calculos!H19,"@")</f>
        <v>@</v>
      </c>
      <c r="E14" s="149">
        <v>45364</v>
      </c>
      <c r="F14" s="150">
        <v>20</v>
      </c>
      <c r="G14" s="150">
        <v>15</v>
      </c>
      <c r="H14" s="24">
        <f t="shared" ref="H14:H28" si="0">IFERROR(G14/F14,"")</f>
        <v>0.75</v>
      </c>
      <c r="I14" s="152">
        <v>3</v>
      </c>
      <c r="J14" s="23" t="str">
        <f t="shared" ref="J14:J28" si="1">IF(E14="","",IF(AND(K14&lt;=E14,L14&lt;&gt;1),"Revisão 1",IF(AND(L14&lt;=E14,M14&lt;&gt;1),"Revisão 2",IF(AND(M14&lt;=E14,N14&lt;&gt;1),"Revisão 3",IF(AND(N14&lt;=E14,O14&lt;&gt;1),"Revisão 4",IF(AND(O14&lt;=E14,P14&lt;&gt;1),"Revisão 5",IF(AND(P14&lt;=E14,Q14&lt;&gt;1),"Revisão 6",IF(AND(Q14&lt;=E14,R14&lt;&gt;1),"Revisão 7",IF(AND(R14&lt;=E14,S14&lt;&gt;1),"Revisão 8")))))))))</f>
        <v>Revisão 4</v>
      </c>
      <c r="K14" s="153">
        <v>45365</v>
      </c>
      <c r="L14" s="153">
        <v>45371</v>
      </c>
      <c r="M14" s="153">
        <v>45379</v>
      </c>
      <c r="N14" s="153"/>
      <c r="O14" s="153"/>
      <c r="P14" s="153"/>
      <c r="Q14" s="153"/>
      <c r="R14" s="153"/>
    </row>
    <row r="15" spans="1:21" ht="30" customHeight="1" thickTop="1" thickBot="1" x14ac:dyDescent="0.3">
      <c r="A15" s="26">
        <v>3</v>
      </c>
      <c r="B15" s="97" t="str">
        <f>VLOOKUP(A15,Começo!A:D,3,0)</f>
        <v>História</v>
      </c>
      <c r="C15" s="145" t="s">
        <v>527</v>
      </c>
      <c r="D15" s="69" t="str">
        <f>HYPERLINK(Calculos!$I$1&amp;Calculos!H3&amp;Calculos!H20,"@")</f>
        <v>@</v>
      </c>
      <c r="E15" s="149">
        <v>45365</v>
      </c>
      <c r="F15" s="150">
        <v>25</v>
      </c>
      <c r="G15" s="150">
        <v>11</v>
      </c>
      <c r="H15" s="24">
        <f t="shared" si="0"/>
        <v>0.44</v>
      </c>
      <c r="I15" s="152">
        <v>2</v>
      </c>
      <c r="J15" s="23" t="str">
        <f t="shared" si="1"/>
        <v>Revisão 4</v>
      </c>
      <c r="K15" s="153">
        <v>45366</v>
      </c>
      <c r="L15" s="153">
        <v>45372</v>
      </c>
      <c r="M15" s="154">
        <v>45380</v>
      </c>
      <c r="N15" s="154"/>
      <c r="O15" s="154"/>
      <c r="P15" s="154"/>
      <c r="Q15" s="154"/>
      <c r="R15" s="154"/>
    </row>
    <row r="16" spans="1:21" ht="30" customHeight="1" thickTop="1" thickBot="1" x14ac:dyDescent="0.3">
      <c r="A16" s="26">
        <v>4</v>
      </c>
      <c r="B16" s="97" t="str">
        <f>VLOOKUP(A16,Começo!A:D,3,0)</f>
        <v>Física</v>
      </c>
      <c r="C16" s="146" t="s">
        <v>528</v>
      </c>
      <c r="D16" s="69" t="str">
        <f>HYPERLINK(Calculos!$I$1&amp;Calculos!H4&amp;Calculos!H21,"@")</f>
        <v>@</v>
      </c>
      <c r="E16" s="149">
        <v>45366</v>
      </c>
      <c r="F16" s="150">
        <v>35</v>
      </c>
      <c r="G16" s="150">
        <v>23</v>
      </c>
      <c r="H16" s="24">
        <f t="shared" si="0"/>
        <v>0.65714285714285714</v>
      </c>
      <c r="I16" s="152">
        <v>3</v>
      </c>
      <c r="J16" s="23" t="str">
        <f t="shared" si="1"/>
        <v>Revisão 3</v>
      </c>
      <c r="K16" s="153">
        <v>45367</v>
      </c>
      <c r="L16" s="155">
        <v>45373</v>
      </c>
      <c r="M16" s="156"/>
      <c r="N16" s="156"/>
      <c r="O16" s="156"/>
      <c r="P16" s="156"/>
      <c r="Q16" s="156"/>
      <c r="R16" s="156"/>
    </row>
    <row r="17" spans="1:18" ht="30" customHeight="1" thickTop="1" thickBot="1" x14ac:dyDescent="0.3">
      <c r="A17" s="26">
        <v>5</v>
      </c>
      <c r="B17" s="97" t="str">
        <f>VLOOKUP(A17,Começo!A:D,3,0)</f>
        <v>Quimíca</v>
      </c>
      <c r="C17" s="145" t="s">
        <v>529</v>
      </c>
      <c r="D17" s="69" t="str">
        <f>HYPERLINK(Calculos!$I$1&amp;Calculos!H5&amp;Calculos!H22,"@")</f>
        <v>@</v>
      </c>
      <c r="E17" s="149">
        <v>45367</v>
      </c>
      <c r="F17" s="150">
        <v>20</v>
      </c>
      <c r="G17" s="150">
        <v>12</v>
      </c>
      <c r="H17" s="24">
        <f t="shared" si="0"/>
        <v>0.6</v>
      </c>
      <c r="I17" s="152">
        <v>1</v>
      </c>
      <c r="J17" s="23" t="str">
        <f t="shared" si="1"/>
        <v>Revisão 3</v>
      </c>
      <c r="K17" s="153">
        <v>45368</v>
      </c>
      <c r="L17" s="155">
        <v>45374</v>
      </c>
      <c r="M17" s="156"/>
      <c r="N17" s="156"/>
      <c r="O17" s="156"/>
      <c r="P17" s="156"/>
      <c r="Q17" s="156"/>
      <c r="R17" s="156"/>
    </row>
    <row r="18" spans="1:18" ht="30" customHeight="1" thickTop="1" thickBot="1" x14ac:dyDescent="0.3">
      <c r="A18" s="26">
        <v>6</v>
      </c>
      <c r="B18" s="97" t="str">
        <f>VLOOKUP(A18,Começo!A:D,3,0)</f>
        <v>Legislação</v>
      </c>
      <c r="C18" s="145" t="s">
        <v>530</v>
      </c>
      <c r="D18" s="69" t="str">
        <f>HYPERLINK(Calculos!$I$1&amp;Calculos!H6&amp;Calculos!H23,"@")</f>
        <v>@</v>
      </c>
      <c r="E18" s="149">
        <v>45368</v>
      </c>
      <c r="F18" s="150">
        <v>13</v>
      </c>
      <c r="G18" s="150">
        <v>6</v>
      </c>
      <c r="H18" s="24">
        <f t="shared" si="0"/>
        <v>0.46153846153846156</v>
      </c>
      <c r="I18" s="152">
        <v>2</v>
      </c>
      <c r="J18" s="23" t="str">
        <f t="shared" si="1"/>
        <v>Revisão 3</v>
      </c>
      <c r="K18" s="153">
        <v>45369</v>
      </c>
      <c r="L18" s="153">
        <v>45375</v>
      </c>
      <c r="M18" s="157"/>
      <c r="N18" s="157"/>
      <c r="O18" s="157"/>
      <c r="P18" s="157"/>
      <c r="Q18" s="157"/>
      <c r="R18" s="157"/>
    </row>
    <row r="19" spans="1:18" ht="30" customHeight="1" thickTop="1" thickBot="1" x14ac:dyDescent="0.3">
      <c r="A19" s="26">
        <v>7</v>
      </c>
      <c r="B19" s="97" t="str">
        <f>VLOOKUP(A19,Começo!A:D,3,0)</f>
        <v>Processo Penal</v>
      </c>
      <c r="C19" s="145" t="s">
        <v>531</v>
      </c>
      <c r="D19" s="69" t="str">
        <f>HYPERLINK(Calculos!$I$1&amp;Calculos!H7&amp;Calculos!H24,"@")</f>
        <v>@</v>
      </c>
      <c r="E19" s="149">
        <v>45369</v>
      </c>
      <c r="F19" s="150">
        <v>16</v>
      </c>
      <c r="G19" s="150">
        <v>13</v>
      </c>
      <c r="H19" s="24">
        <f t="shared" si="0"/>
        <v>0.8125</v>
      </c>
      <c r="I19" s="152">
        <v>3</v>
      </c>
      <c r="J19" s="23" t="str">
        <f t="shared" si="1"/>
        <v>Revisão 3</v>
      </c>
      <c r="K19" s="153">
        <v>45370</v>
      </c>
      <c r="L19" s="155">
        <v>45376</v>
      </c>
      <c r="M19" s="156"/>
      <c r="N19" s="156"/>
      <c r="O19" s="156"/>
      <c r="P19" s="156"/>
      <c r="Q19" s="156"/>
      <c r="R19" s="156"/>
    </row>
    <row r="20" spans="1:18" ht="30" customHeight="1" thickTop="1" thickBot="1" x14ac:dyDescent="0.3">
      <c r="A20" s="26">
        <v>8</v>
      </c>
      <c r="B20" s="97" t="str">
        <f>VLOOKUP(A20,Começo!A:D,3,0)</f>
        <v>Direito Administrativo</v>
      </c>
      <c r="C20" s="145" t="s">
        <v>532</v>
      </c>
      <c r="D20" s="69" t="str">
        <f>HYPERLINK(Calculos!$I$1&amp;Calculos!H8&amp;Calculos!H25,"@")</f>
        <v>@</v>
      </c>
      <c r="E20" s="149">
        <v>45370</v>
      </c>
      <c r="F20" s="150">
        <v>20</v>
      </c>
      <c r="G20" s="150">
        <v>19</v>
      </c>
      <c r="H20" s="24">
        <f t="shared" si="0"/>
        <v>0.95</v>
      </c>
      <c r="I20" s="152">
        <v>3</v>
      </c>
      <c r="J20" s="23" t="str">
        <f t="shared" si="1"/>
        <v>Revisão 3</v>
      </c>
      <c r="K20" s="153">
        <v>45371</v>
      </c>
      <c r="L20" s="155">
        <v>45377</v>
      </c>
      <c r="M20" s="156"/>
      <c r="N20" s="156"/>
      <c r="O20" s="156"/>
      <c r="P20" s="156"/>
      <c r="Q20" s="156"/>
      <c r="R20" s="156"/>
    </row>
    <row r="21" spans="1:18" ht="30" customHeight="1" thickTop="1" thickBot="1" x14ac:dyDescent="0.3">
      <c r="A21" s="26">
        <v>9</v>
      </c>
      <c r="B21" s="97" t="str">
        <f>VLOOKUP(A21,Começo!A:D,3,0)</f>
        <v>Direito Tributário</v>
      </c>
      <c r="C21" s="145" t="s">
        <v>533</v>
      </c>
      <c r="D21" s="69" t="str">
        <f>HYPERLINK(Calculos!$I$1&amp;Calculos!H9&amp;Calculos!H26,"@")</f>
        <v>@</v>
      </c>
      <c r="E21" s="149">
        <v>45371</v>
      </c>
      <c r="F21" s="150">
        <v>15</v>
      </c>
      <c r="G21" s="150">
        <v>11</v>
      </c>
      <c r="H21" s="24">
        <f t="shared" si="0"/>
        <v>0.73333333333333328</v>
      </c>
      <c r="I21" s="152">
        <v>2</v>
      </c>
      <c r="J21" s="23" t="str">
        <f t="shared" si="1"/>
        <v>Revisão 3</v>
      </c>
      <c r="K21" s="153">
        <v>45372</v>
      </c>
      <c r="L21" s="155">
        <v>45378</v>
      </c>
      <c r="M21" s="156"/>
      <c r="N21" s="156"/>
      <c r="O21" s="156"/>
      <c r="P21" s="156"/>
      <c r="Q21" s="156"/>
      <c r="R21" s="156"/>
    </row>
    <row r="22" spans="1:18" ht="30" customHeight="1" thickTop="1" thickBot="1" x14ac:dyDescent="0.3">
      <c r="A22" s="26">
        <v>10</v>
      </c>
      <c r="B22" s="97" t="str">
        <f>VLOOKUP(A22,Começo!A:D,3,0)</f>
        <v>Inglês</v>
      </c>
      <c r="C22" s="145" t="s">
        <v>534</v>
      </c>
      <c r="D22" s="69" t="str">
        <f>HYPERLINK(Calculos!$I$1&amp;Calculos!H10&amp;Calculos!H27,"@")</f>
        <v>@</v>
      </c>
      <c r="E22" s="149">
        <v>45372</v>
      </c>
      <c r="F22" s="150">
        <v>10</v>
      </c>
      <c r="G22" s="150">
        <v>10</v>
      </c>
      <c r="H22" s="24">
        <f t="shared" si="0"/>
        <v>1</v>
      </c>
      <c r="I22" s="152">
        <v>3</v>
      </c>
      <c r="J22" s="23" t="str">
        <f t="shared" si="1"/>
        <v>Revisão 3</v>
      </c>
      <c r="K22" s="153">
        <v>45373</v>
      </c>
      <c r="L22" s="155">
        <v>45379</v>
      </c>
      <c r="M22" s="156"/>
      <c r="N22" s="156"/>
      <c r="O22" s="156"/>
      <c r="P22" s="156"/>
      <c r="Q22" s="156"/>
      <c r="R22" s="156"/>
    </row>
    <row r="23" spans="1:18" ht="30" customHeight="1" thickTop="1" thickBot="1" x14ac:dyDescent="0.3">
      <c r="A23" s="26">
        <v>11</v>
      </c>
      <c r="B23" s="97" t="str">
        <f>VLOOKUP(A23,Começo!A:D,3,0)</f>
        <v>Análise de Sistemas</v>
      </c>
      <c r="C23" s="145" t="s">
        <v>535</v>
      </c>
      <c r="D23" s="69" t="str">
        <f>HYPERLINK(Calculos!$I$1&amp;Calculos!H11&amp;Calculos!H28,"@")</f>
        <v>@</v>
      </c>
      <c r="E23" s="149">
        <v>45373</v>
      </c>
      <c r="F23" s="150">
        <v>25</v>
      </c>
      <c r="G23" s="150">
        <v>21</v>
      </c>
      <c r="H23" s="24">
        <f t="shared" si="0"/>
        <v>0.84</v>
      </c>
      <c r="I23" s="152">
        <v>3</v>
      </c>
      <c r="J23" s="23" t="str">
        <f t="shared" si="1"/>
        <v>Revisão 3</v>
      </c>
      <c r="K23" s="153">
        <v>45374</v>
      </c>
      <c r="L23" s="155">
        <v>45380</v>
      </c>
      <c r="M23" s="156"/>
      <c r="N23" s="156"/>
      <c r="O23" s="156"/>
      <c r="P23" s="156"/>
      <c r="Q23" s="156"/>
      <c r="R23" s="156"/>
    </row>
    <row r="24" spans="1:18" ht="30" customHeight="1" thickTop="1" thickBot="1" x14ac:dyDescent="0.3">
      <c r="A24" s="26">
        <v>12</v>
      </c>
      <c r="B24" s="97" t="str">
        <f>VLOOKUP(A24,Começo!A:D,3,0)</f>
        <v>Direito Legislativo</v>
      </c>
      <c r="C24" s="145" t="s">
        <v>512</v>
      </c>
      <c r="D24" s="69" t="str">
        <f>HYPERLINK(Calculos!$I$1&amp;Calculos!H12&amp;Calculos!H29,"@")</f>
        <v>@</v>
      </c>
      <c r="E24" s="149">
        <v>45374</v>
      </c>
      <c r="F24" s="150">
        <v>30</v>
      </c>
      <c r="G24" s="150">
        <v>26</v>
      </c>
      <c r="H24" s="24">
        <f t="shared" si="0"/>
        <v>0.8666666666666667</v>
      </c>
      <c r="I24" s="152">
        <v>3</v>
      </c>
      <c r="J24" s="23" t="str">
        <f t="shared" si="1"/>
        <v>Revisão 3</v>
      </c>
      <c r="K24" s="153">
        <v>45375</v>
      </c>
      <c r="L24" s="155">
        <v>45381</v>
      </c>
      <c r="M24" s="156"/>
      <c r="N24" s="156"/>
      <c r="O24" s="156"/>
      <c r="P24" s="156"/>
      <c r="Q24" s="156"/>
      <c r="R24" s="156"/>
    </row>
    <row r="25" spans="1:18" ht="30" customHeight="1" thickTop="1" thickBot="1" x14ac:dyDescent="0.3">
      <c r="A25" s="26">
        <v>13</v>
      </c>
      <c r="B25" s="97" t="str">
        <f>VLOOKUP(A25,Começo!A:D,3,0)</f>
        <v>Mecânica dos Fluídos</v>
      </c>
      <c r="C25" s="145" t="s">
        <v>536</v>
      </c>
      <c r="D25" s="69" t="str">
        <f>HYPERLINK(Calculos!$I$1&amp;Calculos!H13&amp;Calculos!H30,"@")</f>
        <v>@</v>
      </c>
      <c r="E25" s="149">
        <v>45375</v>
      </c>
      <c r="F25" s="150">
        <v>25</v>
      </c>
      <c r="G25" s="150">
        <v>21</v>
      </c>
      <c r="H25" s="24">
        <f t="shared" si="0"/>
        <v>0.84</v>
      </c>
      <c r="I25" s="152">
        <v>3</v>
      </c>
      <c r="J25" s="23" t="str">
        <f>IF(E25="","",IF(AND(K25&lt;=E25,L25&lt;&gt;1),"Revisão 1",IF(AND(L25&lt;=E25,M25&lt;&gt;1),"Revisão 2",IF(AND(M25&lt;=E25,N25&lt;&gt;1),"Revisão 3",IF(AND(N25&lt;=E25,O25&lt;&gt;1),"Revisão 4",IF(AND(O25&lt;=E25,P25&lt;&gt;1),"Revisão 5",IF(AND(P25&lt;=E25,Q25&lt;&gt;1),"Revisão 6",IF(AND(Q25&lt;=E25,R25&lt;&gt;1),"Revisão 7",IF(AND(R25&lt;=E25,S25&lt;&gt;1),"Revisão 8")))))))))</f>
        <v>Revisão 3</v>
      </c>
      <c r="K25" s="153">
        <v>45376</v>
      </c>
      <c r="L25" s="155">
        <v>45382</v>
      </c>
      <c r="M25" s="156"/>
      <c r="N25" s="156"/>
      <c r="O25" s="156"/>
      <c r="P25" s="156"/>
      <c r="Q25" s="156"/>
      <c r="R25" s="156"/>
    </row>
    <row r="26" spans="1:18" ht="30" customHeight="1" thickTop="1" thickBot="1" x14ac:dyDescent="0.3">
      <c r="A26" s="26">
        <v>14</v>
      </c>
      <c r="B26" s="97" t="str">
        <f>VLOOKUP(A26,Começo!A:D,3,0)</f>
        <v>IoT</v>
      </c>
      <c r="C26" s="145" t="s">
        <v>537</v>
      </c>
      <c r="D26" s="69" t="str">
        <f>HYPERLINK(Calculos!$I$1&amp;Calculos!H14&amp;Calculos!H31,"@")</f>
        <v>@</v>
      </c>
      <c r="E26" s="149">
        <v>45376</v>
      </c>
      <c r="F26" s="150">
        <v>12</v>
      </c>
      <c r="G26" s="150">
        <v>12</v>
      </c>
      <c r="H26" s="24">
        <f t="shared" si="0"/>
        <v>1</v>
      </c>
      <c r="I26" s="152">
        <v>3</v>
      </c>
      <c r="J26" s="23" t="str">
        <f>IF(E26="","",IF(AND(K26&lt;=E26,L26&lt;&gt;1),"Revisão 1",IF(AND(L26&lt;=E26,M26&lt;&gt;1),"Revisão 2",IF(AND(M26&lt;=E26,N26&lt;&gt;1),"Revisão 3",IF(AND(N26&lt;=E26,O26&lt;&gt;1),"Revisão 4",IF(AND(O26&lt;=E26,P26&lt;&gt;1),"Revisão 5",IF(AND(P26&lt;=E26,Q26&lt;&gt;1),"Revisão 6",IF(AND(Q26&lt;=E26,R26&lt;&gt;1),"Revisão 7",IF(AND(R26&lt;=E26,S26&lt;&gt;1),"Revisão 8")))))))))</f>
        <v>Revisão 3</v>
      </c>
      <c r="K26" s="153">
        <v>45377</v>
      </c>
      <c r="L26" s="155">
        <v>45383</v>
      </c>
      <c r="M26" s="156"/>
      <c r="N26" s="156"/>
      <c r="O26" s="156"/>
      <c r="P26" s="156"/>
      <c r="Q26" s="156"/>
      <c r="R26" s="156"/>
    </row>
    <row r="27" spans="1:18" ht="30" customHeight="1" thickTop="1" thickBot="1" x14ac:dyDescent="0.3">
      <c r="A27" s="26">
        <v>15</v>
      </c>
      <c r="B27" s="97" t="str">
        <f>VLOOKUP(A27,Começo!A:D,3,0)</f>
        <v>Astrologia</v>
      </c>
      <c r="C27" s="145" t="s">
        <v>538</v>
      </c>
      <c r="D27" s="69" t="str">
        <f>HYPERLINK(Calculos!$I$1&amp;Calculos!H15&amp;Calculos!H32,"@")</f>
        <v>@</v>
      </c>
      <c r="E27" s="149">
        <v>45377</v>
      </c>
      <c r="F27" s="150">
        <v>10</v>
      </c>
      <c r="G27" s="150">
        <v>4</v>
      </c>
      <c r="H27" s="24">
        <f t="shared" si="0"/>
        <v>0.4</v>
      </c>
      <c r="I27" s="152">
        <v>2</v>
      </c>
      <c r="J27" s="23" t="str">
        <f t="shared" si="1"/>
        <v>Revisão 3</v>
      </c>
      <c r="K27" s="153">
        <v>45378</v>
      </c>
      <c r="L27" s="155">
        <v>45384</v>
      </c>
      <c r="M27" s="156"/>
      <c r="N27" s="156"/>
      <c r="O27" s="156"/>
      <c r="P27" s="156"/>
      <c r="Q27" s="156"/>
      <c r="R27" s="156"/>
    </row>
    <row r="28" spans="1:18" ht="30" customHeight="1" thickTop="1" thickBot="1" x14ac:dyDescent="0.3">
      <c r="A28" s="26">
        <v>16</v>
      </c>
      <c r="B28" s="97" t="str">
        <f>VLOOKUP(A28,Começo!A:D,3,0)</f>
        <v>Colorimetria</v>
      </c>
      <c r="C28" s="145" t="s">
        <v>539</v>
      </c>
      <c r="D28" s="69" t="str">
        <f>HYPERLINK(Calculos!$I$1&amp;Calculos!H16&amp;Calculos!H33,"@")</f>
        <v>@</v>
      </c>
      <c r="E28" s="149">
        <v>45378</v>
      </c>
      <c r="F28" s="150">
        <v>10</v>
      </c>
      <c r="G28" s="150">
        <v>10</v>
      </c>
      <c r="H28" s="24">
        <f t="shared" si="0"/>
        <v>1</v>
      </c>
      <c r="I28" s="152">
        <v>3</v>
      </c>
      <c r="J28" s="23" t="str">
        <f t="shared" si="1"/>
        <v>Revisão 3</v>
      </c>
      <c r="K28" s="153">
        <v>45379</v>
      </c>
      <c r="L28" s="155">
        <v>45385</v>
      </c>
      <c r="M28" s="156"/>
      <c r="N28" s="156"/>
      <c r="O28" s="156"/>
      <c r="P28" s="156"/>
      <c r="Q28" s="156"/>
      <c r="R28" s="156"/>
    </row>
    <row r="31" spans="1:18" ht="15" customHeight="1" x14ac:dyDescent="0.25">
      <c r="B31" s="18"/>
    </row>
  </sheetData>
  <sheetProtection algorithmName="SHA-512" hashValue="1tTrD7qYL0PzGWQ6KNCwtpP9y+cI6t3J1U21XtgyGM6Db4M7f+IMF7PktIcJxR9Gis+NBbSsDSuspQyhNtOZSA==" saltValue="8uT67gCAd1S38DL0UDEbBw==" spinCount="100000" sheet="1" objects="1" scenarios="1"/>
  <autoFilter ref="A12:R12" xr:uid="{00000000-0009-0000-0000-000001000000}"/>
  <mergeCells count="7">
    <mergeCell ref="C9:J10"/>
    <mergeCell ref="T7:U8"/>
    <mergeCell ref="A11:B11"/>
    <mergeCell ref="A9:B10"/>
    <mergeCell ref="C8:J8"/>
    <mergeCell ref="A8:B8"/>
    <mergeCell ref="A7:B7"/>
  </mergeCells>
  <conditionalFormatting sqref="I13:I28">
    <cfRule type="iconSet" priority="34">
      <iconSet iconSet="3Symbols2" showValue="0">
        <cfvo type="percent" val="0"/>
        <cfvo type="num" val="1" gte="0"/>
        <cfvo type="num" val="3"/>
      </iconSet>
    </cfRule>
    <cfRule type="iconSet" priority="35">
      <iconSet showValue="0">
        <cfvo type="percent" val="0"/>
        <cfvo type="num" val="1" gte="0"/>
        <cfvo type="num" val="3"/>
      </iconSet>
    </cfRule>
    <cfRule type="iconSet" priority="36">
      <iconSet iconSet="3Symbols2" showValue="0">
        <cfvo type="percent" val="0"/>
        <cfvo type="num" val="1" gte="0"/>
        <cfvo type="num" val="3" gte="0"/>
      </iconSet>
    </cfRule>
  </conditionalFormatting>
  <conditionalFormatting sqref="C11:D11 A11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3:H28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{2E90C8FB-B797-4BA8-990D-072B30AB16A4}</x14:id>
        </ext>
      </extLst>
    </cfRule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{C36993C8-1C4C-4760-9A06-EAE244410551}</x14:id>
        </ext>
      </extLst>
    </cfRule>
  </conditionalFormatting>
  <conditionalFormatting sqref="J13:J28">
    <cfRule type="containsText" dxfId="197" priority="24" operator="containsText" text="Revisão 4">
      <formula>NOT(ISERROR(SEARCH("Revisão 4",J13)))</formula>
    </cfRule>
    <cfRule type="containsText" dxfId="196" priority="25" operator="containsText" text="Revisão 3">
      <formula>NOT(ISERROR(SEARCH("Revisão 3",J13)))</formula>
    </cfRule>
    <cfRule type="containsText" dxfId="195" priority="26" operator="containsText" text="Revisão 2">
      <formula>NOT(ISERROR(SEARCH("Revisão 2",J13)))</formula>
    </cfRule>
    <cfRule type="containsText" dxfId="194" priority="27" operator="containsText" text="Revisão 1">
      <formula>NOT(ISERROR(SEARCH("Revisão 1",J13)))</formula>
    </cfRule>
  </conditionalFormatting>
  <conditionalFormatting sqref="I13">
    <cfRule type="iconSet" priority="17">
      <iconSet iconSet="3Symbols2" showValue="0">
        <cfvo type="percent" val="0"/>
        <cfvo type="num" val="1" gte="0"/>
        <cfvo type="num" val="3"/>
      </iconSet>
    </cfRule>
    <cfRule type="iconSet" priority="18">
      <iconSet iconSet="3Symbols2">
        <cfvo type="percent" val="0"/>
        <cfvo type="percent" val="33"/>
        <cfvo type="percent" val="67"/>
      </iconSet>
    </cfRule>
  </conditionalFormatting>
  <conditionalFormatting sqref="A9:B10">
    <cfRule type="dataBar" priority="4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{0FF737A9-0475-4315-B09A-5F990BEB7605}</x14:id>
        </ext>
      </extLst>
    </cfRule>
    <cfRule type="dataBar" priority="5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{F3C877E9-6895-41B4-9D7B-65D885FF2872}</x14:id>
        </ext>
      </extLst>
    </cfRule>
    <cfRule type="dataBar" priority="6">
      <dataBar>
        <cfvo type="percent" val="0"/>
        <cfvo type="percent" val="100"/>
        <color rgb="FF269633"/>
      </dataBar>
      <extLst>
        <ext xmlns:x14="http://schemas.microsoft.com/office/spreadsheetml/2009/9/main" uri="{B025F937-C7B1-47D3-B67F-A62EFF666E3E}">
          <x14:id>{50B4C295-04D1-494C-A1B0-DB7AD522FECF}</x14:id>
        </ext>
      </extLst>
    </cfRule>
    <cfRule type="dataBar" priority="7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{18557AFD-0B35-409B-BAE1-2BED0BE8441E}</x14:id>
        </ext>
      </extLst>
    </cfRule>
    <cfRule type="dataBar" priority="15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{7FBC1398-5E24-445B-85C7-1CE44FF8710C}</x14:id>
        </ext>
      </extLst>
    </cfRule>
  </conditionalFormatting>
  <conditionalFormatting sqref="K13:R15 K18:R18 K16:L17 K19:L28">
    <cfRule type="containsText" dxfId="193" priority="2" operator="containsText" text="OK">
      <formula>NOT(ISERROR(SEARCH("OK",K13)))</formula>
    </cfRule>
    <cfRule type="containsText" dxfId="192" priority="3" operator="containsText" text="OK">
      <formula>NOT(ISERROR(SEARCH("OK",K13)))</formula>
    </cfRule>
  </conditionalFormatting>
  <conditionalFormatting sqref="C9:J10">
    <cfRule type="dataBar" priority="1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{D3057352-DDF8-433F-B671-0E4A81E83BE2}</x14:id>
        </ext>
      </extLst>
    </cfRule>
  </conditionalFormatting>
  <dataValidations count="9">
    <dataValidation type="list" allowBlank="1" showInputMessage="1" showErrorMessage="1" sqref="I13:I28" xr:uid="{00000000-0002-0000-0100-000000000000}">
      <formula1>"1,2,3"</formula1>
    </dataValidation>
    <dataValidation type="date" allowBlank="1" showInputMessage="1" showErrorMessage="1" sqref="K13:K28" xr:uid="{00000000-0002-0000-0100-000001000000}">
      <formula1>E13</formula1>
      <formula2>E13+2</formula2>
    </dataValidation>
    <dataValidation type="date" allowBlank="1" showInputMessage="1" showErrorMessage="1" sqref="L13:L28" xr:uid="{00000000-0002-0000-0100-000002000000}">
      <formula1>E13</formula1>
      <formula2>E13+7</formula2>
    </dataValidation>
    <dataValidation type="date" allowBlank="1" showInputMessage="1" showErrorMessage="1" sqref="M13:M28" xr:uid="{00000000-0002-0000-0100-000003000000}">
      <formula1>E13</formula1>
      <formula2>E13+15</formula2>
    </dataValidation>
    <dataValidation type="date" allowBlank="1" showInputMessage="1" showErrorMessage="1" sqref="N13:N28" xr:uid="{00000000-0002-0000-0100-000004000000}">
      <formula1>E13</formula1>
      <formula2>E13+30</formula2>
    </dataValidation>
    <dataValidation type="date" allowBlank="1" showInputMessage="1" showErrorMessage="1" sqref="O13:O28" xr:uid="{00000000-0002-0000-0100-000005000000}">
      <formula1>E13</formula1>
      <formula2>E13+45</formula2>
    </dataValidation>
    <dataValidation type="date" allowBlank="1" showInputMessage="1" showErrorMessage="1" sqref="P13:P28" xr:uid="{00000000-0002-0000-0100-000006000000}">
      <formula1>E13</formula1>
      <formula2>E13+60</formula2>
    </dataValidation>
    <dataValidation type="date" allowBlank="1" showInputMessage="1" showErrorMessage="1" sqref="Q13:Q28" xr:uid="{00000000-0002-0000-0100-000007000000}">
      <formula1>E13</formula1>
      <formula2>E13+75</formula2>
    </dataValidation>
    <dataValidation type="date" allowBlank="1" showInputMessage="1" showErrorMessage="1" sqref="R13:R28" xr:uid="{00000000-0002-0000-0100-000008000000}">
      <formula1>E13</formula1>
      <formula2>E13+90</formula2>
    </dataValidation>
  </dataValidations>
  <hyperlinks>
    <hyperlink ref="A9:B10" r:id="rId1" tooltip="Site de Simulado" display="► Simulado " xr:uid="{00000000-0004-0000-0100-000000000000}"/>
    <hyperlink ref="B13" location="'Materia 1'!A1" display="'Materia 1'!A1" xr:uid="{00000000-0004-0000-0100-000001000000}"/>
    <hyperlink ref="B14" location="'Materia 2'!A1" display="'Materia 2'!A1" xr:uid="{00000000-0004-0000-0100-000002000000}"/>
    <hyperlink ref="B15" location="'Materia 3'!A1" display="'Materia 3'!A1" xr:uid="{00000000-0004-0000-0100-000003000000}"/>
    <hyperlink ref="B16" location="'Materia 4'!A1" display="'Materia 4'!A1" xr:uid="{00000000-0004-0000-0100-000004000000}"/>
    <hyperlink ref="B17" location="'Materia 5'!A1" display="'Materia 5'!A1" xr:uid="{00000000-0004-0000-0100-000005000000}"/>
    <hyperlink ref="B18" location="'Materia 6'!A1" display="'Materia 6'!A1" xr:uid="{00000000-0004-0000-0100-000006000000}"/>
    <hyperlink ref="B19" location="'Materia 7'!A1" display="'Materia 7'!A1" xr:uid="{00000000-0004-0000-0100-000007000000}"/>
    <hyperlink ref="B20" location="'Materia 8'!A1" display="'Materia 8'!A1" xr:uid="{00000000-0004-0000-0100-000008000000}"/>
    <hyperlink ref="B21" location="'Materia 9'!A1" display="'Materia 9'!A1" xr:uid="{00000000-0004-0000-0100-000009000000}"/>
    <hyperlink ref="B22" location="'Materia 10'!A1" display="'Materia 10'!A1" xr:uid="{00000000-0004-0000-0100-00000A000000}"/>
    <hyperlink ref="B23" location="'Materia 11'!A1" display="'Materia 11'!A1" xr:uid="{00000000-0004-0000-0100-00000B000000}"/>
    <hyperlink ref="B24" location="'Materia 12'!A1" display="'Materia 12'!A1" xr:uid="{00000000-0004-0000-0100-00000C000000}"/>
    <hyperlink ref="B25" location="'Materia 13'!A1" display="'Materia 13'!A1" xr:uid="{00000000-0004-0000-0100-00000D000000}"/>
    <hyperlink ref="B26" location="'Materia 14'!A1" display="'Materia 14'!A1" xr:uid="{00000000-0004-0000-0100-00000E000000}"/>
    <hyperlink ref="B27" location="'Materia 15'!A1" display="'Materia 15'!A1" xr:uid="{00000000-0004-0000-0100-00000F000000}"/>
    <hyperlink ref="B28" location="'Materia 16'!A1" display="'Materia 16'!A1" xr:uid="{00000000-0004-0000-0100-000010000000}"/>
  </hyperlinks>
  <pageMargins left="0.511811024" right="0.511811024" top="0.78740157499999996" bottom="0.78740157499999996" header="0.31496062000000002" footer="0.31496062000000002"/>
  <pageSetup paperSize="9" orientation="portrait" horizontalDpi="4294967293" verticalDpi="0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E90C8FB-B797-4BA8-990D-072B30AB16A4}">
            <x14:dataBar minLength="0" maxLength="100" gradient="0">
              <x14:cfvo type="autoMin"/>
              <x14:cfvo type="autoMax"/>
              <x14:negativeFillColor rgb="FFFF0000"/>
              <x14:axisColor theme="0"/>
            </x14:dataBar>
          </x14:cfRule>
          <x14:cfRule type="dataBar" id="{C36993C8-1C4C-4760-9A06-EAE244410551}">
            <x14:dataBar minLength="0" maxLength="100" gradient="0" direction="rightToLeft">
              <x14:cfvo type="autoMin"/>
              <x14:cfvo type="autoMax"/>
              <x14:negativeFillColor rgb="FFFF0000"/>
              <x14:axisColor theme="0"/>
            </x14:dataBar>
          </x14:cfRule>
          <xm:sqref>H13:H28</xm:sqref>
        </x14:conditionalFormatting>
        <x14:conditionalFormatting xmlns:xm="http://schemas.microsoft.com/office/excel/2006/main">
          <x14:cfRule type="dataBar" id="{0FF737A9-0475-4315-B09A-5F990BEB7605}">
            <x14:dataBar minLength="0" maxLength="10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theme="0"/>
            </x14:dataBar>
          </x14:cfRule>
          <x14:cfRule type="dataBar" id="{F3C877E9-6895-41B4-9D7B-65D885FF2872}">
            <x14:dataBar minLength="0" maxLength="100" axisPosition="none">
              <x14:cfvo type="percent">
                <xm:f>0</xm:f>
              </x14:cfvo>
              <x14:cfvo type="percent">
                <xm:f>100</xm:f>
              </x14:cfvo>
              <x14:negativeFillColor rgb="FFFF0000"/>
            </x14:dataBar>
          </x14:cfRule>
          <x14:cfRule type="dataBar" id="{50B4C295-04D1-494C-A1B0-DB7AD522FECF}">
            <x14:dataBar minLength="0" maxLength="100" axisPosition="none">
              <x14:cfvo type="percent">
                <xm:f>0</xm:f>
              </x14:cfvo>
              <x14:cfvo type="percent">
                <xm:f>100</xm:f>
              </x14:cfvo>
              <x14:negativeFillColor rgb="FFFF0000"/>
            </x14:dataBar>
          </x14:cfRule>
          <x14:cfRule type="dataBar" id="{18557AFD-0B35-409B-BAE1-2BED0BE8441E}">
            <x14:dataBar minLength="0" maxLength="10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theme="0"/>
            </x14:dataBar>
          </x14:cfRule>
          <x14:cfRule type="dataBar" id="{7FBC1398-5E24-445B-85C7-1CE44FF8710C}">
            <x14:dataBar minLength="0" maxLength="10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A9:B10</xm:sqref>
        </x14:conditionalFormatting>
        <x14:conditionalFormatting xmlns:xm="http://schemas.microsoft.com/office/excel/2006/main">
          <x14:cfRule type="dataBar" id="{D3057352-DDF8-433F-B671-0E4A81E83BE2}">
            <x14:dataBar minLength="0" maxLength="100" axisPosition="none">
              <x14:cfvo type="percent">
                <xm:f>0</xm:f>
              </x14:cfvo>
              <x14:cfvo type="percent">
                <xm:f>100</xm:f>
              </x14:cfvo>
              <x14:negativeFillColor rgb="FFFF0000"/>
            </x14:dataBar>
          </x14:cfRule>
          <xm:sqref>C9:J10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O32"/>
  <sheetViews>
    <sheetView showGridLines="0" showRowColHeaders="0" workbookViewId="0">
      <pane ySplit="4" topLeftCell="A5" activePane="bottomLeft" state="frozen"/>
      <selection activeCell="C5" sqref="C5"/>
      <selection pane="bottomLeft"/>
    </sheetView>
  </sheetViews>
  <sheetFormatPr defaultRowHeight="15" x14ac:dyDescent="0.25"/>
  <cols>
    <col min="1" max="1" width="3.85546875" style="27" customWidth="1"/>
    <col min="2" max="2" width="8.140625" style="27" customWidth="1"/>
    <col min="3" max="3" width="10.5703125" style="27" bestFit="1" customWidth="1"/>
    <col min="4" max="4" width="7.5703125" style="27" bestFit="1" customWidth="1"/>
    <col min="5" max="5" width="6.140625" style="27" bestFit="1" customWidth="1"/>
    <col min="6" max="6" width="6.28515625" style="27" bestFit="1" customWidth="1"/>
    <col min="7" max="7" width="7.42578125" style="27" bestFit="1" customWidth="1"/>
    <col min="8" max="8" width="6.7109375" style="27" bestFit="1" customWidth="1"/>
    <col min="9" max="9" width="8.5703125" style="27" bestFit="1" customWidth="1"/>
    <col min="10" max="10" width="11" style="27" bestFit="1" customWidth="1"/>
    <col min="11" max="11" width="9.7109375" style="27" bestFit="1" customWidth="1"/>
    <col min="12" max="12" width="12" style="27" bestFit="1" customWidth="1"/>
    <col min="13" max="13" width="11.5703125" style="27" bestFit="1" customWidth="1"/>
    <col min="14" max="16384" width="9.140625" style="27"/>
  </cols>
  <sheetData>
    <row r="1" spans="1:41" s="38" customFormat="1" x14ac:dyDescent="0.25"/>
    <row r="2" spans="1:41" s="38" customFormat="1" x14ac:dyDescent="0.25"/>
    <row r="3" spans="1:41" s="38" customFormat="1" x14ac:dyDescent="0.25"/>
    <row r="4" spans="1:41" s="38" customFormat="1" x14ac:dyDescent="0.25"/>
    <row r="5" spans="1:41" s="63" customFormat="1" ht="3.95" customHeight="1" x14ac:dyDescent="0.25"/>
    <row r="6" spans="1:41" ht="15" customHeight="1" x14ac:dyDescent="0.25"/>
    <row r="7" spans="1:41" ht="15" customHeight="1" x14ac:dyDescent="0.25">
      <c r="O7" s="193" t="s">
        <v>36</v>
      </c>
      <c r="P7" s="193"/>
      <c r="Q7" s="193"/>
    </row>
    <row r="8" spans="1:41" ht="15" customHeight="1" x14ac:dyDescent="0.25">
      <c r="A8" s="31"/>
      <c r="B8" s="197" t="s">
        <v>133</v>
      </c>
      <c r="C8" s="197" t="s">
        <v>25</v>
      </c>
      <c r="D8" s="197" t="s">
        <v>26</v>
      </c>
      <c r="E8" s="197" t="s">
        <v>27</v>
      </c>
      <c r="F8" s="197" t="s">
        <v>28</v>
      </c>
      <c r="G8" s="197" t="s">
        <v>29</v>
      </c>
      <c r="H8" s="197" t="s">
        <v>30</v>
      </c>
      <c r="I8" s="197" t="s">
        <v>31</v>
      </c>
      <c r="J8" s="197" t="s">
        <v>32</v>
      </c>
      <c r="K8" s="197" t="s">
        <v>33</v>
      </c>
      <c r="L8" s="197" t="s">
        <v>34</v>
      </c>
      <c r="M8" s="197" t="s">
        <v>35</v>
      </c>
      <c r="N8" s="48"/>
      <c r="O8" s="196">
        <f>SUM(G12:J27)</f>
        <v>1.9375</v>
      </c>
      <c r="P8" s="196"/>
      <c r="Q8" s="196"/>
    </row>
    <row r="9" spans="1:41" ht="15" customHeight="1" x14ac:dyDescent="0.25">
      <c r="A9" s="31"/>
      <c r="B9" s="197"/>
      <c r="C9" s="197"/>
      <c r="D9" s="197"/>
      <c r="E9" s="197"/>
      <c r="F9" s="197"/>
      <c r="G9" s="197"/>
      <c r="H9" s="197"/>
      <c r="I9" s="197"/>
      <c r="J9" s="197"/>
      <c r="K9" s="197"/>
      <c r="L9" s="197"/>
      <c r="M9" s="197"/>
      <c r="O9" s="196"/>
      <c r="P9" s="196"/>
      <c r="Q9" s="196"/>
    </row>
    <row r="10" spans="1:41" ht="15" customHeight="1" x14ac:dyDescent="0.25">
      <c r="A10" s="18"/>
      <c r="B10" s="18"/>
      <c r="C10" s="18"/>
      <c r="D10" s="18"/>
      <c r="E10" s="18"/>
      <c r="F10" s="18"/>
      <c r="G10" s="18"/>
      <c r="H10" s="18"/>
      <c r="I10" s="18"/>
      <c r="J10" s="18"/>
      <c r="O10" s="32"/>
      <c r="P10" s="32"/>
      <c r="Q10" s="32"/>
    </row>
    <row r="11" spans="1:41" ht="20.25" x14ac:dyDescent="0.25">
      <c r="A11" s="19"/>
      <c r="B11" s="198" t="s">
        <v>134</v>
      </c>
      <c r="C11" s="198"/>
      <c r="D11" s="198"/>
      <c r="E11" s="198"/>
      <c r="F11" s="198"/>
      <c r="G11" s="195" t="s">
        <v>37</v>
      </c>
      <c r="H11" s="195"/>
      <c r="I11" s="195"/>
      <c r="J11" s="195"/>
      <c r="K11" s="20" t="s">
        <v>102</v>
      </c>
      <c r="L11" s="20" t="s">
        <v>103</v>
      </c>
      <c r="M11" s="20" t="s">
        <v>104</v>
      </c>
      <c r="N11" s="20" t="s">
        <v>105</v>
      </c>
      <c r="O11" s="20" t="s">
        <v>106</v>
      </c>
      <c r="P11" s="20" t="s">
        <v>107</v>
      </c>
      <c r="Q11" s="20" t="s">
        <v>108</v>
      </c>
      <c r="R11" s="20" t="s">
        <v>109</v>
      </c>
      <c r="S11" s="20" t="s">
        <v>110</v>
      </c>
      <c r="T11" s="20" t="s">
        <v>111</v>
      </c>
      <c r="U11" s="20" t="s">
        <v>112</v>
      </c>
      <c r="V11" s="20" t="s">
        <v>113</v>
      </c>
      <c r="W11" s="20" t="s">
        <v>114</v>
      </c>
      <c r="X11" s="20" t="s">
        <v>115</v>
      </c>
      <c r="Y11" s="20" t="s">
        <v>116</v>
      </c>
      <c r="Z11" s="20" t="s">
        <v>117</v>
      </c>
      <c r="AA11" s="20" t="s">
        <v>118</v>
      </c>
      <c r="AB11" s="20" t="s">
        <v>119</v>
      </c>
      <c r="AC11" s="20" t="s">
        <v>120</v>
      </c>
      <c r="AD11" s="21" t="s">
        <v>121</v>
      </c>
      <c r="AE11" s="21" t="s">
        <v>122</v>
      </c>
      <c r="AF11" s="21" t="s">
        <v>123</v>
      </c>
      <c r="AG11" s="21" t="s">
        <v>124</v>
      </c>
      <c r="AH11" s="21" t="s">
        <v>125</v>
      </c>
      <c r="AI11" s="21" t="s">
        <v>126</v>
      </c>
      <c r="AJ11" s="21" t="s">
        <v>127</v>
      </c>
      <c r="AK11" s="21" t="s">
        <v>128</v>
      </c>
      <c r="AL11" s="21" t="s">
        <v>129</v>
      </c>
      <c r="AM11" s="21" t="s">
        <v>130</v>
      </c>
      <c r="AN11" s="21" t="s">
        <v>131</v>
      </c>
      <c r="AO11" s="21" t="s">
        <v>132</v>
      </c>
    </row>
    <row r="12" spans="1:41" ht="26.1" customHeight="1" thickBot="1" x14ac:dyDescent="0.3">
      <c r="A12" s="1" t="s">
        <v>89</v>
      </c>
      <c r="B12" s="16">
        <v>1</v>
      </c>
      <c r="C12" s="199" t="str">
        <f>VLOOKUP(B12,Começo!A:D,3,0)</f>
        <v>Português</v>
      </c>
      <c r="D12" s="199"/>
      <c r="E12" s="199"/>
      <c r="F12" s="199"/>
      <c r="G12" s="194">
        <f>IFERROR(COUNTIF(Tabela1[#This Row],"sim"),"")*Começo!D14+SUM(Tabela1[#This Row])</f>
        <v>1.9166666666666667</v>
      </c>
      <c r="H12" s="194"/>
      <c r="I12" s="194"/>
      <c r="J12" s="194"/>
      <c r="K12" s="158">
        <v>4.1666666666666664E-2</v>
      </c>
      <c r="L12" s="158">
        <v>2.0833333333333332E-2</v>
      </c>
      <c r="M12" s="158">
        <v>8.3333333333333329E-2</v>
      </c>
      <c r="N12" s="158" t="s">
        <v>92</v>
      </c>
      <c r="O12" s="158">
        <v>8.3333333333333329E-2</v>
      </c>
      <c r="P12" s="158">
        <v>0.14583333333333334</v>
      </c>
      <c r="Q12" s="158">
        <v>2.0833333333333332E-2</v>
      </c>
      <c r="R12" s="158">
        <v>6.25E-2</v>
      </c>
      <c r="S12" s="158">
        <v>0.10416666666666667</v>
      </c>
      <c r="T12" s="158">
        <v>8.3333333333333329E-2</v>
      </c>
      <c r="U12" s="158" t="s">
        <v>92</v>
      </c>
      <c r="V12" s="158" t="s">
        <v>92</v>
      </c>
      <c r="W12" s="158">
        <v>0.125</v>
      </c>
      <c r="X12" s="158" t="s">
        <v>92</v>
      </c>
      <c r="Y12" s="158" t="s">
        <v>92</v>
      </c>
      <c r="Z12" s="158">
        <v>6.25E-2</v>
      </c>
      <c r="AA12" s="158">
        <v>0.125</v>
      </c>
      <c r="AB12" s="158">
        <v>2.0833333333333332E-2</v>
      </c>
      <c r="AC12" s="158">
        <v>0.14583333333333334</v>
      </c>
      <c r="AD12" s="158">
        <v>0.16666666666666666</v>
      </c>
      <c r="AE12" s="158">
        <v>0.10416666666666667</v>
      </c>
      <c r="AF12" s="158">
        <v>4.1666666666666664E-2</v>
      </c>
      <c r="AG12" s="158" t="s">
        <v>92</v>
      </c>
      <c r="AH12" s="158">
        <v>0.10416666666666667</v>
      </c>
      <c r="AI12" s="158">
        <v>0.16666666666666666</v>
      </c>
      <c r="AJ12" s="158">
        <v>8.3333333333333329E-2</v>
      </c>
      <c r="AK12" s="158">
        <v>2.0833333333333332E-2</v>
      </c>
      <c r="AL12" s="158" t="s">
        <v>92</v>
      </c>
      <c r="AM12" s="158" t="s">
        <v>92</v>
      </c>
      <c r="AN12" s="158">
        <v>8.3333333333333329E-2</v>
      </c>
      <c r="AO12" s="158">
        <v>2.0833333333333332E-2</v>
      </c>
    </row>
    <row r="13" spans="1:41" ht="26.1" customHeight="1" thickBot="1" x14ac:dyDescent="0.3">
      <c r="A13" s="1" t="s">
        <v>89</v>
      </c>
      <c r="B13" s="17">
        <v>2</v>
      </c>
      <c r="C13" s="199" t="str">
        <f>VLOOKUP(B13,Começo!A:D,3,0)</f>
        <v>Matemática</v>
      </c>
      <c r="D13" s="199"/>
      <c r="E13" s="199"/>
      <c r="F13" s="199"/>
      <c r="G13" s="194">
        <f>IFERROR(COUNTIF(Tabela1[#This Row],"sim"),"")*Começo!D15+SUM(Tabela1[#This Row])</f>
        <v>2.0833333333333332E-2</v>
      </c>
      <c r="H13" s="194"/>
      <c r="I13" s="194"/>
      <c r="J13" s="194"/>
      <c r="K13" s="158">
        <v>2.0833333333333332E-2</v>
      </c>
      <c r="L13" s="158" t="s">
        <v>92</v>
      </c>
      <c r="M13" s="158" t="s">
        <v>92</v>
      </c>
      <c r="N13" s="158" t="s">
        <v>92</v>
      </c>
      <c r="O13" s="158" t="s">
        <v>92</v>
      </c>
      <c r="P13" s="158" t="s">
        <v>92</v>
      </c>
      <c r="Q13" s="158" t="s">
        <v>92</v>
      </c>
      <c r="R13" s="158" t="s">
        <v>92</v>
      </c>
      <c r="S13" s="158" t="s">
        <v>92</v>
      </c>
      <c r="T13" s="158" t="s">
        <v>92</v>
      </c>
      <c r="U13" s="158" t="s">
        <v>92</v>
      </c>
      <c r="V13" s="158" t="s">
        <v>92</v>
      </c>
      <c r="W13" s="158" t="s">
        <v>92</v>
      </c>
      <c r="X13" s="158" t="s">
        <v>92</v>
      </c>
      <c r="Y13" s="158" t="s">
        <v>92</v>
      </c>
      <c r="Z13" s="158" t="s">
        <v>92</v>
      </c>
      <c r="AA13" s="158" t="s">
        <v>92</v>
      </c>
      <c r="AB13" s="158" t="s">
        <v>92</v>
      </c>
      <c r="AC13" s="158" t="s">
        <v>92</v>
      </c>
      <c r="AD13" s="158" t="s">
        <v>92</v>
      </c>
      <c r="AE13" s="158" t="s">
        <v>92</v>
      </c>
      <c r="AF13" s="158" t="s">
        <v>92</v>
      </c>
      <c r="AG13" s="158" t="s">
        <v>92</v>
      </c>
      <c r="AH13" s="158" t="s">
        <v>92</v>
      </c>
      <c r="AI13" s="158" t="s">
        <v>92</v>
      </c>
      <c r="AJ13" s="158" t="s">
        <v>92</v>
      </c>
      <c r="AK13" s="158" t="s">
        <v>92</v>
      </c>
      <c r="AL13" s="158" t="s">
        <v>92</v>
      </c>
      <c r="AM13" s="158" t="s">
        <v>92</v>
      </c>
      <c r="AN13" s="158" t="s">
        <v>92</v>
      </c>
      <c r="AO13" s="158" t="s">
        <v>92</v>
      </c>
    </row>
    <row r="14" spans="1:41" ht="26.1" customHeight="1" thickBot="1" x14ac:dyDescent="0.3">
      <c r="A14" s="1" t="s">
        <v>89</v>
      </c>
      <c r="B14" s="17">
        <v>3</v>
      </c>
      <c r="C14" s="199" t="str">
        <f>VLOOKUP(B14,Começo!A:D,3,0)</f>
        <v>História</v>
      </c>
      <c r="D14" s="199"/>
      <c r="E14" s="199"/>
      <c r="F14" s="199"/>
      <c r="G14" s="194">
        <f>IFERROR(COUNTIF(Tabela1[#This Row],"sim"),"")*Começo!D16+SUM(Tabela1[#This Row])</f>
        <v>0</v>
      </c>
      <c r="H14" s="194"/>
      <c r="I14" s="194"/>
      <c r="J14" s="194"/>
      <c r="K14" s="158" t="s">
        <v>92</v>
      </c>
      <c r="L14" s="158" t="s">
        <v>92</v>
      </c>
      <c r="M14" s="158" t="s">
        <v>92</v>
      </c>
      <c r="N14" s="158" t="s">
        <v>92</v>
      </c>
      <c r="O14" s="158" t="s">
        <v>92</v>
      </c>
      <c r="P14" s="158" t="s">
        <v>92</v>
      </c>
      <c r="Q14" s="158" t="s">
        <v>92</v>
      </c>
      <c r="R14" s="158" t="s">
        <v>92</v>
      </c>
      <c r="S14" s="158" t="s">
        <v>92</v>
      </c>
      <c r="T14" s="158" t="s">
        <v>92</v>
      </c>
      <c r="U14" s="158" t="s">
        <v>92</v>
      </c>
      <c r="V14" s="158" t="s">
        <v>92</v>
      </c>
      <c r="W14" s="158" t="s">
        <v>92</v>
      </c>
      <c r="X14" s="158" t="s">
        <v>92</v>
      </c>
      <c r="Y14" s="158" t="s">
        <v>92</v>
      </c>
      <c r="Z14" s="158" t="s">
        <v>92</v>
      </c>
      <c r="AA14" s="158" t="s">
        <v>92</v>
      </c>
      <c r="AB14" s="158" t="s">
        <v>92</v>
      </c>
      <c r="AC14" s="158" t="s">
        <v>92</v>
      </c>
      <c r="AD14" s="158" t="s">
        <v>92</v>
      </c>
      <c r="AE14" s="158" t="s">
        <v>92</v>
      </c>
      <c r="AF14" s="158" t="s">
        <v>92</v>
      </c>
      <c r="AG14" s="158" t="s">
        <v>92</v>
      </c>
      <c r="AH14" s="158" t="s">
        <v>92</v>
      </c>
      <c r="AI14" s="158" t="s">
        <v>92</v>
      </c>
      <c r="AJ14" s="158" t="s">
        <v>92</v>
      </c>
      <c r="AK14" s="158" t="s">
        <v>92</v>
      </c>
      <c r="AL14" s="158" t="s">
        <v>92</v>
      </c>
      <c r="AM14" s="158" t="s">
        <v>92</v>
      </c>
      <c r="AN14" s="158" t="s">
        <v>92</v>
      </c>
      <c r="AO14" s="158" t="s">
        <v>92</v>
      </c>
    </row>
    <row r="15" spans="1:41" ht="26.1" customHeight="1" thickBot="1" x14ac:dyDescent="0.3">
      <c r="A15" s="1" t="s">
        <v>89</v>
      </c>
      <c r="B15" s="17">
        <v>4</v>
      </c>
      <c r="C15" s="199" t="str">
        <f>VLOOKUP(B15,Começo!A:D,3,0)</f>
        <v>Física</v>
      </c>
      <c r="D15" s="199"/>
      <c r="E15" s="199"/>
      <c r="F15" s="199"/>
      <c r="G15" s="194">
        <f>IFERROR(COUNTIF(Tabela1[#This Row],"sim"),"")*Começo!D17+SUM(Tabela1[#This Row])</f>
        <v>0</v>
      </c>
      <c r="H15" s="194"/>
      <c r="I15" s="194"/>
      <c r="J15" s="194"/>
      <c r="K15" s="158" t="s">
        <v>92</v>
      </c>
      <c r="L15" s="158" t="s">
        <v>92</v>
      </c>
      <c r="M15" s="158" t="s">
        <v>92</v>
      </c>
      <c r="N15" s="158" t="s">
        <v>92</v>
      </c>
      <c r="O15" s="158" t="s">
        <v>92</v>
      </c>
      <c r="P15" s="158" t="s">
        <v>92</v>
      </c>
      <c r="Q15" s="158" t="s">
        <v>92</v>
      </c>
      <c r="R15" s="158" t="s">
        <v>92</v>
      </c>
      <c r="S15" s="158" t="s">
        <v>92</v>
      </c>
      <c r="T15" s="158" t="s">
        <v>92</v>
      </c>
      <c r="U15" s="158" t="s">
        <v>92</v>
      </c>
      <c r="V15" s="158" t="s">
        <v>92</v>
      </c>
      <c r="W15" s="158" t="s">
        <v>92</v>
      </c>
      <c r="X15" s="158" t="s">
        <v>92</v>
      </c>
      <c r="Y15" s="158" t="s">
        <v>92</v>
      </c>
      <c r="Z15" s="158" t="s">
        <v>92</v>
      </c>
      <c r="AA15" s="158" t="s">
        <v>92</v>
      </c>
      <c r="AB15" s="158" t="s">
        <v>92</v>
      </c>
      <c r="AC15" s="158" t="s">
        <v>92</v>
      </c>
      <c r="AD15" s="158" t="s">
        <v>92</v>
      </c>
      <c r="AE15" s="158" t="s">
        <v>92</v>
      </c>
      <c r="AF15" s="158" t="s">
        <v>92</v>
      </c>
      <c r="AG15" s="158" t="s">
        <v>92</v>
      </c>
      <c r="AH15" s="158" t="s">
        <v>92</v>
      </c>
      <c r="AI15" s="158" t="s">
        <v>92</v>
      </c>
      <c r="AJ15" s="158" t="s">
        <v>92</v>
      </c>
      <c r="AK15" s="158" t="s">
        <v>92</v>
      </c>
      <c r="AL15" s="158" t="s">
        <v>92</v>
      </c>
      <c r="AM15" s="158" t="s">
        <v>92</v>
      </c>
      <c r="AN15" s="158" t="s">
        <v>92</v>
      </c>
      <c r="AO15" s="158" t="s">
        <v>92</v>
      </c>
    </row>
    <row r="16" spans="1:41" ht="26.1" customHeight="1" thickBot="1" x14ac:dyDescent="0.3">
      <c r="A16" s="1" t="s">
        <v>89</v>
      </c>
      <c r="B16" s="17">
        <v>5</v>
      </c>
      <c r="C16" s="199" t="str">
        <f>VLOOKUP(B16,Começo!A:D,3,0)</f>
        <v>Quimíca</v>
      </c>
      <c r="D16" s="199"/>
      <c r="E16" s="199"/>
      <c r="F16" s="199"/>
      <c r="G16" s="194">
        <f>IFERROR(COUNTIF(Tabela1[#This Row],"sim"),"")*Começo!D18+SUM(Tabela1[#This Row])</f>
        <v>0</v>
      </c>
      <c r="H16" s="194"/>
      <c r="I16" s="194"/>
      <c r="J16" s="194"/>
      <c r="K16" s="158" t="s">
        <v>92</v>
      </c>
      <c r="L16" s="158" t="s">
        <v>92</v>
      </c>
      <c r="M16" s="158" t="s">
        <v>92</v>
      </c>
      <c r="N16" s="158" t="s">
        <v>92</v>
      </c>
      <c r="O16" s="158" t="s">
        <v>92</v>
      </c>
      <c r="P16" s="158" t="s">
        <v>92</v>
      </c>
      <c r="Q16" s="158" t="s">
        <v>92</v>
      </c>
      <c r="R16" s="158" t="s">
        <v>92</v>
      </c>
      <c r="S16" s="158" t="s">
        <v>92</v>
      </c>
      <c r="T16" s="158" t="s">
        <v>92</v>
      </c>
      <c r="U16" s="158" t="s">
        <v>92</v>
      </c>
      <c r="V16" s="158" t="s">
        <v>92</v>
      </c>
      <c r="W16" s="158" t="s">
        <v>92</v>
      </c>
      <c r="X16" s="158" t="s">
        <v>92</v>
      </c>
      <c r="Y16" s="158" t="s">
        <v>92</v>
      </c>
      <c r="Z16" s="158" t="s">
        <v>92</v>
      </c>
      <c r="AA16" s="158" t="s">
        <v>92</v>
      </c>
      <c r="AB16" s="158" t="s">
        <v>92</v>
      </c>
      <c r="AC16" s="158" t="s">
        <v>92</v>
      </c>
      <c r="AD16" s="158" t="s">
        <v>92</v>
      </c>
      <c r="AE16" s="158" t="s">
        <v>92</v>
      </c>
      <c r="AF16" s="158" t="s">
        <v>92</v>
      </c>
      <c r="AG16" s="158" t="s">
        <v>92</v>
      </c>
      <c r="AH16" s="158" t="s">
        <v>92</v>
      </c>
      <c r="AI16" s="158" t="s">
        <v>92</v>
      </c>
      <c r="AJ16" s="158" t="s">
        <v>92</v>
      </c>
      <c r="AK16" s="158" t="s">
        <v>92</v>
      </c>
      <c r="AL16" s="158" t="s">
        <v>92</v>
      </c>
      <c r="AM16" s="158" t="s">
        <v>92</v>
      </c>
      <c r="AN16" s="158" t="s">
        <v>92</v>
      </c>
      <c r="AO16" s="158" t="s">
        <v>92</v>
      </c>
    </row>
    <row r="17" spans="1:41" ht="26.1" customHeight="1" thickBot="1" x14ac:dyDescent="0.3">
      <c r="A17" s="1" t="s">
        <v>89</v>
      </c>
      <c r="B17" s="17">
        <v>6</v>
      </c>
      <c r="C17" s="199" t="str">
        <f>VLOOKUP(B17,Começo!A:D,3,0)</f>
        <v>Legislação</v>
      </c>
      <c r="D17" s="199"/>
      <c r="E17" s="199"/>
      <c r="F17" s="199"/>
      <c r="G17" s="194">
        <f>IFERROR(COUNTIF(Tabela1[#This Row],"sim"),"")*Começo!D19+SUM(Tabela1[#This Row])</f>
        <v>0</v>
      </c>
      <c r="H17" s="194"/>
      <c r="I17" s="194"/>
      <c r="J17" s="194"/>
      <c r="K17" s="158" t="s">
        <v>92</v>
      </c>
      <c r="L17" s="158" t="s">
        <v>92</v>
      </c>
      <c r="M17" s="158" t="s">
        <v>92</v>
      </c>
      <c r="N17" s="158" t="s">
        <v>92</v>
      </c>
      <c r="O17" s="158" t="s">
        <v>92</v>
      </c>
      <c r="P17" s="158" t="s">
        <v>92</v>
      </c>
      <c r="Q17" s="158" t="s">
        <v>92</v>
      </c>
      <c r="R17" s="158" t="s">
        <v>92</v>
      </c>
      <c r="S17" s="158" t="s">
        <v>92</v>
      </c>
      <c r="T17" s="158" t="s">
        <v>92</v>
      </c>
      <c r="U17" s="158" t="s">
        <v>92</v>
      </c>
      <c r="V17" s="158" t="s">
        <v>92</v>
      </c>
      <c r="W17" s="158" t="s">
        <v>92</v>
      </c>
      <c r="X17" s="158" t="s">
        <v>92</v>
      </c>
      <c r="Y17" s="158" t="s">
        <v>92</v>
      </c>
      <c r="Z17" s="158" t="s">
        <v>92</v>
      </c>
      <c r="AA17" s="158" t="s">
        <v>92</v>
      </c>
      <c r="AB17" s="158" t="s">
        <v>92</v>
      </c>
      <c r="AC17" s="158" t="s">
        <v>92</v>
      </c>
      <c r="AD17" s="158" t="s">
        <v>92</v>
      </c>
      <c r="AE17" s="158" t="s">
        <v>92</v>
      </c>
      <c r="AF17" s="158" t="s">
        <v>92</v>
      </c>
      <c r="AG17" s="158" t="s">
        <v>92</v>
      </c>
      <c r="AH17" s="158" t="s">
        <v>92</v>
      </c>
      <c r="AI17" s="158" t="s">
        <v>92</v>
      </c>
      <c r="AJ17" s="158" t="s">
        <v>92</v>
      </c>
      <c r="AK17" s="158" t="s">
        <v>92</v>
      </c>
      <c r="AL17" s="158" t="s">
        <v>92</v>
      </c>
      <c r="AM17" s="158" t="s">
        <v>92</v>
      </c>
      <c r="AN17" s="158" t="s">
        <v>92</v>
      </c>
      <c r="AO17" s="158" t="s">
        <v>92</v>
      </c>
    </row>
    <row r="18" spans="1:41" ht="26.1" customHeight="1" thickBot="1" x14ac:dyDescent="0.3">
      <c r="A18" s="1" t="s">
        <v>89</v>
      </c>
      <c r="B18" s="17">
        <v>7</v>
      </c>
      <c r="C18" s="199" t="str">
        <f>VLOOKUP(B18,Começo!A:D,3,0)</f>
        <v>Processo Penal</v>
      </c>
      <c r="D18" s="199"/>
      <c r="E18" s="199"/>
      <c r="F18" s="199"/>
      <c r="G18" s="194">
        <f>IFERROR(COUNTIF(Tabela1[#This Row],"sim"),"")*Começo!D20+SUM(Tabela1[#This Row])</f>
        <v>0</v>
      </c>
      <c r="H18" s="194"/>
      <c r="I18" s="194"/>
      <c r="J18" s="194"/>
      <c r="K18" s="158" t="s">
        <v>92</v>
      </c>
      <c r="L18" s="158" t="s">
        <v>92</v>
      </c>
      <c r="M18" s="158" t="s">
        <v>92</v>
      </c>
      <c r="N18" s="158" t="s">
        <v>92</v>
      </c>
      <c r="O18" s="158" t="s">
        <v>92</v>
      </c>
      <c r="P18" s="158" t="s">
        <v>92</v>
      </c>
      <c r="Q18" s="158" t="s">
        <v>92</v>
      </c>
      <c r="R18" s="158" t="s">
        <v>92</v>
      </c>
      <c r="S18" s="158" t="s">
        <v>92</v>
      </c>
      <c r="T18" s="158" t="s">
        <v>92</v>
      </c>
      <c r="U18" s="158" t="s">
        <v>92</v>
      </c>
      <c r="V18" s="158" t="s">
        <v>92</v>
      </c>
      <c r="W18" s="158" t="s">
        <v>92</v>
      </c>
      <c r="X18" s="158" t="s">
        <v>92</v>
      </c>
      <c r="Y18" s="158" t="s">
        <v>92</v>
      </c>
      <c r="Z18" s="158" t="s">
        <v>92</v>
      </c>
      <c r="AA18" s="158" t="s">
        <v>92</v>
      </c>
      <c r="AB18" s="158" t="s">
        <v>92</v>
      </c>
      <c r="AC18" s="158" t="s">
        <v>92</v>
      </c>
      <c r="AD18" s="158" t="s">
        <v>92</v>
      </c>
      <c r="AE18" s="158" t="s">
        <v>92</v>
      </c>
      <c r="AF18" s="158" t="s">
        <v>92</v>
      </c>
      <c r="AG18" s="158" t="s">
        <v>92</v>
      </c>
      <c r="AH18" s="158" t="s">
        <v>92</v>
      </c>
      <c r="AI18" s="158" t="s">
        <v>92</v>
      </c>
      <c r="AJ18" s="158" t="s">
        <v>92</v>
      </c>
      <c r="AK18" s="158" t="s">
        <v>92</v>
      </c>
      <c r="AL18" s="158" t="s">
        <v>92</v>
      </c>
      <c r="AM18" s="158" t="s">
        <v>92</v>
      </c>
      <c r="AN18" s="158" t="s">
        <v>92</v>
      </c>
      <c r="AO18" s="158" t="s">
        <v>92</v>
      </c>
    </row>
    <row r="19" spans="1:41" ht="26.1" customHeight="1" thickBot="1" x14ac:dyDescent="0.3">
      <c r="A19" s="1" t="s">
        <v>89</v>
      </c>
      <c r="B19" s="17">
        <v>8</v>
      </c>
      <c r="C19" s="199" t="str">
        <f>VLOOKUP(B19,Começo!A:D,3,0)</f>
        <v>Direito Administrativo</v>
      </c>
      <c r="D19" s="199"/>
      <c r="E19" s="199"/>
      <c r="F19" s="199"/>
      <c r="G19" s="194">
        <f>IFERROR(COUNTIF(Tabela1[#This Row],"sim"),"")*Começo!D21+SUM(Tabela1[#This Row])</f>
        <v>0</v>
      </c>
      <c r="H19" s="194"/>
      <c r="I19" s="194"/>
      <c r="J19" s="194"/>
      <c r="K19" s="158" t="s">
        <v>92</v>
      </c>
      <c r="L19" s="158" t="s">
        <v>92</v>
      </c>
      <c r="M19" s="158" t="s">
        <v>92</v>
      </c>
      <c r="N19" s="158" t="s">
        <v>92</v>
      </c>
      <c r="O19" s="158" t="s">
        <v>92</v>
      </c>
      <c r="P19" s="158" t="s">
        <v>92</v>
      </c>
      <c r="Q19" s="158" t="s">
        <v>92</v>
      </c>
      <c r="R19" s="158" t="s">
        <v>92</v>
      </c>
      <c r="S19" s="158" t="s">
        <v>92</v>
      </c>
      <c r="T19" s="158" t="s">
        <v>92</v>
      </c>
      <c r="U19" s="158" t="s">
        <v>92</v>
      </c>
      <c r="V19" s="158" t="s">
        <v>92</v>
      </c>
      <c r="W19" s="158" t="s">
        <v>92</v>
      </c>
      <c r="X19" s="158" t="s">
        <v>92</v>
      </c>
      <c r="Y19" s="158" t="s">
        <v>92</v>
      </c>
      <c r="Z19" s="158" t="s">
        <v>92</v>
      </c>
      <c r="AA19" s="158" t="s">
        <v>92</v>
      </c>
      <c r="AB19" s="158" t="s">
        <v>92</v>
      </c>
      <c r="AC19" s="158" t="s">
        <v>92</v>
      </c>
      <c r="AD19" s="158" t="s">
        <v>92</v>
      </c>
      <c r="AE19" s="158" t="s">
        <v>92</v>
      </c>
      <c r="AF19" s="158" t="s">
        <v>92</v>
      </c>
      <c r="AG19" s="158" t="s">
        <v>92</v>
      </c>
      <c r="AH19" s="158" t="s">
        <v>92</v>
      </c>
      <c r="AI19" s="158" t="s">
        <v>92</v>
      </c>
      <c r="AJ19" s="158" t="s">
        <v>92</v>
      </c>
      <c r="AK19" s="158" t="s">
        <v>92</v>
      </c>
      <c r="AL19" s="158" t="s">
        <v>92</v>
      </c>
      <c r="AM19" s="158" t="s">
        <v>92</v>
      </c>
      <c r="AN19" s="158" t="s">
        <v>92</v>
      </c>
      <c r="AO19" s="158" t="s">
        <v>92</v>
      </c>
    </row>
    <row r="20" spans="1:41" ht="26.1" customHeight="1" thickBot="1" x14ac:dyDescent="0.3">
      <c r="A20" s="1" t="s">
        <v>89</v>
      </c>
      <c r="B20" s="17">
        <v>9</v>
      </c>
      <c r="C20" s="199" t="str">
        <f>VLOOKUP(B20,Começo!A:D,3,0)</f>
        <v>Direito Tributário</v>
      </c>
      <c r="D20" s="199"/>
      <c r="E20" s="199"/>
      <c r="F20" s="199"/>
      <c r="G20" s="194">
        <f>IFERROR(COUNTIF(Tabela1[#This Row],"sim"),"")*Começo!D22+SUM(Tabela1[#This Row])</f>
        <v>0</v>
      </c>
      <c r="H20" s="194"/>
      <c r="I20" s="194"/>
      <c r="J20" s="194"/>
      <c r="K20" s="158" t="s">
        <v>92</v>
      </c>
      <c r="L20" s="158" t="s">
        <v>92</v>
      </c>
      <c r="M20" s="158" t="s">
        <v>92</v>
      </c>
      <c r="N20" s="158" t="s">
        <v>92</v>
      </c>
      <c r="O20" s="158" t="s">
        <v>92</v>
      </c>
      <c r="P20" s="158" t="s">
        <v>92</v>
      </c>
      <c r="Q20" s="158" t="s">
        <v>92</v>
      </c>
      <c r="R20" s="158" t="s">
        <v>92</v>
      </c>
      <c r="S20" s="158" t="s">
        <v>92</v>
      </c>
      <c r="T20" s="158" t="s">
        <v>92</v>
      </c>
      <c r="U20" s="158" t="s">
        <v>92</v>
      </c>
      <c r="V20" s="158" t="s">
        <v>92</v>
      </c>
      <c r="W20" s="158" t="s">
        <v>92</v>
      </c>
      <c r="X20" s="158" t="s">
        <v>92</v>
      </c>
      <c r="Y20" s="158" t="s">
        <v>92</v>
      </c>
      <c r="Z20" s="158" t="s">
        <v>92</v>
      </c>
      <c r="AA20" s="158" t="s">
        <v>92</v>
      </c>
      <c r="AB20" s="158" t="s">
        <v>92</v>
      </c>
      <c r="AC20" s="158" t="s">
        <v>92</v>
      </c>
      <c r="AD20" s="158" t="s">
        <v>92</v>
      </c>
      <c r="AE20" s="158" t="s">
        <v>92</v>
      </c>
      <c r="AF20" s="158" t="s">
        <v>92</v>
      </c>
      <c r="AG20" s="158" t="s">
        <v>92</v>
      </c>
      <c r="AH20" s="158" t="s">
        <v>92</v>
      </c>
      <c r="AI20" s="158" t="s">
        <v>92</v>
      </c>
      <c r="AJ20" s="158" t="s">
        <v>92</v>
      </c>
      <c r="AK20" s="158" t="s">
        <v>92</v>
      </c>
      <c r="AL20" s="158" t="s">
        <v>92</v>
      </c>
      <c r="AM20" s="158" t="s">
        <v>92</v>
      </c>
      <c r="AN20" s="158" t="s">
        <v>92</v>
      </c>
      <c r="AO20" s="158" t="s">
        <v>92</v>
      </c>
    </row>
    <row r="21" spans="1:41" ht="26.1" customHeight="1" thickBot="1" x14ac:dyDescent="0.3">
      <c r="A21" s="1" t="s">
        <v>89</v>
      </c>
      <c r="B21" s="17">
        <v>10</v>
      </c>
      <c r="C21" s="199" t="str">
        <f>VLOOKUP(B21,Começo!A:D,3,0)</f>
        <v>Inglês</v>
      </c>
      <c r="D21" s="199"/>
      <c r="E21" s="199"/>
      <c r="F21" s="199"/>
      <c r="G21" s="194">
        <f>IFERROR(COUNTIF(Tabela1[#This Row],"sim"),"")*Começo!D23+SUM(Tabela1[#This Row])</f>
        <v>0</v>
      </c>
      <c r="H21" s="194"/>
      <c r="I21" s="194"/>
      <c r="J21" s="194"/>
      <c r="K21" s="158" t="s">
        <v>92</v>
      </c>
      <c r="L21" s="158" t="s">
        <v>92</v>
      </c>
      <c r="M21" s="158" t="s">
        <v>92</v>
      </c>
      <c r="N21" s="158" t="s">
        <v>92</v>
      </c>
      <c r="O21" s="158" t="s">
        <v>92</v>
      </c>
      <c r="P21" s="158" t="s">
        <v>92</v>
      </c>
      <c r="Q21" s="158" t="s">
        <v>92</v>
      </c>
      <c r="R21" s="158" t="s">
        <v>92</v>
      </c>
      <c r="S21" s="158" t="s">
        <v>92</v>
      </c>
      <c r="T21" s="158" t="s">
        <v>92</v>
      </c>
      <c r="U21" s="158" t="s">
        <v>92</v>
      </c>
      <c r="V21" s="158" t="s">
        <v>92</v>
      </c>
      <c r="W21" s="158" t="s">
        <v>92</v>
      </c>
      <c r="X21" s="158" t="s">
        <v>92</v>
      </c>
      <c r="Y21" s="158" t="s">
        <v>92</v>
      </c>
      <c r="Z21" s="158" t="s">
        <v>92</v>
      </c>
      <c r="AA21" s="158" t="s">
        <v>92</v>
      </c>
      <c r="AB21" s="158" t="s">
        <v>92</v>
      </c>
      <c r="AC21" s="158" t="s">
        <v>92</v>
      </c>
      <c r="AD21" s="158" t="s">
        <v>92</v>
      </c>
      <c r="AE21" s="158" t="s">
        <v>92</v>
      </c>
      <c r="AF21" s="158" t="s">
        <v>92</v>
      </c>
      <c r="AG21" s="158" t="s">
        <v>92</v>
      </c>
      <c r="AH21" s="158" t="s">
        <v>92</v>
      </c>
      <c r="AI21" s="158" t="s">
        <v>92</v>
      </c>
      <c r="AJ21" s="158" t="s">
        <v>92</v>
      </c>
      <c r="AK21" s="158" t="s">
        <v>92</v>
      </c>
      <c r="AL21" s="158" t="s">
        <v>92</v>
      </c>
      <c r="AM21" s="158" t="s">
        <v>92</v>
      </c>
      <c r="AN21" s="158" t="s">
        <v>92</v>
      </c>
      <c r="AO21" s="158" t="s">
        <v>92</v>
      </c>
    </row>
    <row r="22" spans="1:41" ht="26.1" customHeight="1" thickBot="1" x14ac:dyDescent="0.3">
      <c r="A22" s="1" t="s">
        <v>89</v>
      </c>
      <c r="B22" s="17">
        <v>11</v>
      </c>
      <c r="C22" s="199" t="str">
        <f>VLOOKUP(B22,Começo!A:D,3,0)</f>
        <v>Análise de Sistemas</v>
      </c>
      <c r="D22" s="199"/>
      <c r="E22" s="199"/>
      <c r="F22" s="199"/>
      <c r="G22" s="194">
        <f>IFERROR(COUNTIF(Tabela1[#This Row],"sim"),"")*Começo!D24+SUM(Tabela1[#This Row])</f>
        <v>0</v>
      </c>
      <c r="H22" s="194"/>
      <c r="I22" s="194"/>
      <c r="J22" s="194"/>
      <c r="K22" s="158" t="s">
        <v>92</v>
      </c>
      <c r="L22" s="158" t="s">
        <v>92</v>
      </c>
      <c r="M22" s="158" t="s">
        <v>92</v>
      </c>
      <c r="N22" s="158" t="s">
        <v>92</v>
      </c>
      <c r="O22" s="158" t="s">
        <v>92</v>
      </c>
      <c r="P22" s="158" t="s">
        <v>92</v>
      </c>
      <c r="Q22" s="158" t="s">
        <v>92</v>
      </c>
      <c r="R22" s="158" t="s">
        <v>92</v>
      </c>
      <c r="S22" s="158" t="s">
        <v>92</v>
      </c>
      <c r="T22" s="158" t="s">
        <v>92</v>
      </c>
      <c r="U22" s="158" t="s">
        <v>92</v>
      </c>
      <c r="V22" s="158" t="s">
        <v>92</v>
      </c>
      <c r="W22" s="158" t="s">
        <v>92</v>
      </c>
      <c r="X22" s="158" t="s">
        <v>92</v>
      </c>
      <c r="Y22" s="158" t="s">
        <v>92</v>
      </c>
      <c r="Z22" s="158" t="s">
        <v>92</v>
      </c>
      <c r="AA22" s="158" t="s">
        <v>92</v>
      </c>
      <c r="AB22" s="158" t="s">
        <v>92</v>
      </c>
      <c r="AC22" s="158" t="s">
        <v>92</v>
      </c>
      <c r="AD22" s="158" t="s">
        <v>92</v>
      </c>
      <c r="AE22" s="158" t="s">
        <v>92</v>
      </c>
      <c r="AF22" s="158" t="s">
        <v>92</v>
      </c>
      <c r="AG22" s="158" t="s">
        <v>92</v>
      </c>
      <c r="AH22" s="158" t="s">
        <v>92</v>
      </c>
      <c r="AI22" s="158" t="s">
        <v>92</v>
      </c>
      <c r="AJ22" s="158" t="s">
        <v>92</v>
      </c>
      <c r="AK22" s="158" t="s">
        <v>92</v>
      </c>
      <c r="AL22" s="158" t="s">
        <v>92</v>
      </c>
      <c r="AM22" s="158" t="s">
        <v>92</v>
      </c>
      <c r="AN22" s="158" t="s">
        <v>92</v>
      </c>
      <c r="AO22" s="158" t="s">
        <v>92</v>
      </c>
    </row>
    <row r="23" spans="1:41" ht="26.1" customHeight="1" thickBot="1" x14ac:dyDescent="0.3">
      <c r="A23" s="1" t="s">
        <v>89</v>
      </c>
      <c r="B23" s="17">
        <v>12</v>
      </c>
      <c r="C23" s="199" t="str">
        <f>VLOOKUP(B23,Começo!A:D,3,0)</f>
        <v>Direito Legislativo</v>
      </c>
      <c r="D23" s="199"/>
      <c r="E23" s="199"/>
      <c r="F23" s="199"/>
      <c r="G23" s="194">
        <f>IFERROR(COUNTIF(Tabela1[#This Row],"sim"),"")*Começo!D25+SUM(Tabela1[#This Row])</f>
        <v>0</v>
      </c>
      <c r="H23" s="194"/>
      <c r="I23" s="194"/>
      <c r="J23" s="194"/>
      <c r="K23" s="158" t="s">
        <v>92</v>
      </c>
      <c r="L23" s="158" t="s">
        <v>92</v>
      </c>
      <c r="M23" s="158" t="s">
        <v>92</v>
      </c>
      <c r="N23" s="158" t="s">
        <v>92</v>
      </c>
      <c r="O23" s="158" t="s">
        <v>92</v>
      </c>
      <c r="P23" s="158" t="s">
        <v>92</v>
      </c>
      <c r="Q23" s="158" t="s">
        <v>92</v>
      </c>
      <c r="R23" s="158" t="s">
        <v>92</v>
      </c>
      <c r="S23" s="158" t="s">
        <v>92</v>
      </c>
      <c r="T23" s="158" t="s">
        <v>92</v>
      </c>
      <c r="U23" s="158" t="s">
        <v>92</v>
      </c>
      <c r="V23" s="158" t="s">
        <v>92</v>
      </c>
      <c r="W23" s="158" t="s">
        <v>92</v>
      </c>
      <c r="X23" s="158" t="s">
        <v>92</v>
      </c>
      <c r="Y23" s="158" t="s">
        <v>92</v>
      </c>
      <c r="Z23" s="158" t="s">
        <v>92</v>
      </c>
      <c r="AA23" s="158" t="s">
        <v>92</v>
      </c>
      <c r="AB23" s="158" t="s">
        <v>92</v>
      </c>
      <c r="AC23" s="158" t="s">
        <v>92</v>
      </c>
      <c r="AD23" s="158" t="s">
        <v>92</v>
      </c>
      <c r="AE23" s="158" t="s">
        <v>92</v>
      </c>
      <c r="AF23" s="158" t="s">
        <v>92</v>
      </c>
      <c r="AG23" s="158" t="s">
        <v>92</v>
      </c>
      <c r="AH23" s="158" t="s">
        <v>92</v>
      </c>
      <c r="AI23" s="158" t="s">
        <v>92</v>
      </c>
      <c r="AJ23" s="158" t="s">
        <v>92</v>
      </c>
      <c r="AK23" s="158" t="s">
        <v>92</v>
      </c>
      <c r="AL23" s="158" t="s">
        <v>92</v>
      </c>
      <c r="AM23" s="158" t="s">
        <v>92</v>
      </c>
      <c r="AN23" s="158" t="s">
        <v>92</v>
      </c>
      <c r="AO23" s="158" t="s">
        <v>92</v>
      </c>
    </row>
    <row r="24" spans="1:41" ht="26.1" customHeight="1" thickBot="1" x14ac:dyDescent="0.3">
      <c r="A24" s="1" t="s">
        <v>89</v>
      </c>
      <c r="B24" s="17">
        <v>13</v>
      </c>
      <c r="C24" s="199" t="str">
        <f>VLOOKUP(B24,Começo!A:D,3,0)</f>
        <v>Mecânica dos Fluídos</v>
      </c>
      <c r="D24" s="199"/>
      <c r="E24" s="199"/>
      <c r="F24" s="199"/>
      <c r="G24" s="194">
        <f>IFERROR(COUNTIF(Tabela1[#This Row],"sim"),"")*Começo!D26+SUM(Tabela1[#This Row])</f>
        <v>0</v>
      </c>
      <c r="H24" s="194"/>
      <c r="I24" s="194"/>
      <c r="J24" s="194"/>
      <c r="K24" s="158" t="s">
        <v>92</v>
      </c>
      <c r="L24" s="158" t="s">
        <v>92</v>
      </c>
      <c r="M24" s="158" t="s">
        <v>92</v>
      </c>
      <c r="N24" s="158" t="s">
        <v>92</v>
      </c>
      <c r="O24" s="158" t="s">
        <v>92</v>
      </c>
      <c r="P24" s="158" t="s">
        <v>92</v>
      </c>
      <c r="Q24" s="158" t="s">
        <v>92</v>
      </c>
      <c r="R24" s="158" t="s">
        <v>92</v>
      </c>
      <c r="S24" s="158" t="s">
        <v>92</v>
      </c>
      <c r="T24" s="158" t="s">
        <v>92</v>
      </c>
      <c r="U24" s="158" t="s">
        <v>92</v>
      </c>
      <c r="V24" s="158" t="s">
        <v>92</v>
      </c>
      <c r="W24" s="158" t="s">
        <v>92</v>
      </c>
      <c r="X24" s="158" t="s">
        <v>92</v>
      </c>
      <c r="Y24" s="158" t="s">
        <v>92</v>
      </c>
      <c r="Z24" s="158" t="s">
        <v>92</v>
      </c>
      <c r="AA24" s="158" t="s">
        <v>92</v>
      </c>
      <c r="AB24" s="158" t="s">
        <v>92</v>
      </c>
      <c r="AC24" s="158" t="s">
        <v>92</v>
      </c>
      <c r="AD24" s="158" t="s">
        <v>92</v>
      </c>
      <c r="AE24" s="158" t="s">
        <v>92</v>
      </c>
      <c r="AF24" s="158" t="s">
        <v>92</v>
      </c>
      <c r="AG24" s="158" t="s">
        <v>92</v>
      </c>
      <c r="AH24" s="158" t="s">
        <v>92</v>
      </c>
      <c r="AI24" s="158" t="s">
        <v>92</v>
      </c>
      <c r="AJ24" s="158" t="s">
        <v>92</v>
      </c>
      <c r="AK24" s="158" t="s">
        <v>92</v>
      </c>
      <c r="AL24" s="158" t="s">
        <v>92</v>
      </c>
      <c r="AM24" s="158" t="s">
        <v>92</v>
      </c>
      <c r="AN24" s="158" t="s">
        <v>92</v>
      </c>
      <c r="AO24" s="158" t="s">
        <v>92</v>
      </c>
    </row>
    <row r="25" spans="1:41" ht="26.1" customHeight="1" thickBot="1" x14ac:dyDescent="0.3">
      <c r="A25" s="1" t="s">
        <v>89</v>
      </c>
      <c r="B25" s="17">
        <v>14</v>
      </c>
      <c r="C25" s="199" t="str">
        <f>VLOOKUP(B25,Começo!A:D,3,0)</f>
        <v>IoT</v>
      </c>
      <c r="D25" s="199"/>
      <c r="E25" s="199"/>
      <c r="F25" s="199"/>
      <c r="G25" s="194">
        <f>IFERROR(COUNTIF(Tabela1[#This Row],"sim"),"")*Começo!D27+SUM(Tabela1[#This Row])</f>
        <v>0</v>
      </c>
      <c r="H25" s="194"/>
      <c r="I25" s="194"/>
      <c r="J25" s="194"/>
      <c r="K25" s="158" t="s">
        <v>92</v>
      </c>
      <c r="L25" s="158" t="s">
        <v>92</v>
      </c>
      <c r="M25" s="158" t="s">
        <v>92</v>
      </c>
      <c r="N25" s="158" t="s">
        <v>92</v>
      </c>
      <c r="O25" s="158" t="s">
        <v>92</v>
      </c>
      <c r="P25" s="158" t="s">
        <v>92</v>
      </c>
      <c r="Q25" s="158" t="s">
        <v>92</v>
      </c>
      <c r="R25" s="158" t="s">
        <v>92</v>
      </c>
      <c r="S25" s="158" t="s">
        <v>92</v>
      </c>
      <c r="T25" s="158" t="s">
        <v>92</v>
      </c>
      <c r="U25" s="158" t="s">
        <v>92</v>
      </c>
      <c r="V25" s="158" t="s">
        <v>92</v>
      </c>
      <c r="W25" s="158" t="s">
        <v>92</v>
      </c>
      <c r="X25" s="158" t="s">
        <v>92</v>
      </c>
      <c r="Y25" s="158" t="s">
        <v>92</v>
      </c>
      <c r="Z25" s="158" t="s">
        <v>92</v>
      </c>
      <c r="AA25" s="158" t="s">
        <v>92</v>
      </c>
      <c r="AB25" s="158" t="s">
        <v>92</v>
      </c>
      <c r="AC25" s="158" t="s">
        <v>92</v>
      </c>
      <c r="AD25" s="158" t="s">
        <v>92</v>
      </c>
      <c r="AE25" s="158" t="s">
        <v>92</v>
      </c>
      <c r="AF25" s="158" t="s">
        <v>92</v>
      </c>
      <c r="AG25" s="158" t="s">
        <v>92</v>
      </c>
      <c r="AH25" s="158" t="s">
        <v>92</v>
      </c>
      <c r="AI25" s="158" t="s">
        <v>92</v>
      </c>
      <c r="AJ25" s="158" t="s">
        <v>92</v>
      </c>
      <c r="AK25" s="158" t="s">
        <v>92</v>
      </c>
      <c r="AL25" s="158" t="s">
        <v>92</v>
      </c>
      <c r="AM25" s="158" t="s">
        <v>92</v>
      </c>
      <c r="AN25" s="158" t="s">
        <v>92</v>
      </c>
      <c r="AO25" s="158" t="s">
        <v>92</v>
      </c>
    </row>
    <row r="26" spans="1:41" ht="26.1" customHeight="1" thickBot="1" x14ac:dyDescent="0.3">
      <c r="A26" s="1" t="s">
        <v>89</v>
      </c>
      <c r="B26" s="17">
        <v>15</v>
      </c>
      <c r="C26" s="199" t="str">
        <f>VLOOKUP(B26,Começo!A:D,3,0)</f>
        <v>Astrologia</v>
      </c>
      <c r="D26" s="199"/>
      <c r="E26" s="199"/>
      <c r="F26" s="199"/>
      <c r="G26" s="194">
        <f>IFERROR(COUNTIF(Tabela1[#This Row],"sim"),"")*Começo!D28+SUM(Tabela1[#This Row])</f>
        <v>0</v>
      </c>
      <c r="H26" s="194"/>
      <c r="I26" s="194"/>
      <c r="J26" s="194"/>
      <c r="K26" s="158" t="s">
        <v>92</v>
      </c>
      <c r="L26" s="158" t="s">
        <v>92</v>
      </c>
      <c r="M26" s="158" t="s">
        <v>92</v>
      </c>
      <c r="N26" s="158" t="s">
        <v>92</v>
      </c>
      <c r="O26" s="158" t="s">
        <v>92</v>
      </c>
      <c r="P26" s="158" t="s">
        <v>92</v>
      </c>
      <c r="Q26" s="158" t="s">
        <v>92</v>
      </c>
      <c r="R26" s="158" t="s">
        <v>92</v>
      </c>
      <c r="S26" s="158" t="s">
        <v>92</v>
      </c>
      <c r="T26" s="158" t="s">
        <v>92</v>
      </c>
      <c r="U26" s="158" t="s">
        <v>92</v>
      </c>
      <c r="V26" s="158" t="s">
        <v>92</v>
      </c>
      <c r="W26" s="158" t="s">
        <v>92</v>
      </c>
      <c r="X26" s="158" t="s">
        <v>92</v>
      </c>
      <c r="Y26" s="158" t="s">
        <v>92</v>
      </c>
      <c r="Z26" s="158" t="s">
        <v>92</v>
      </c>
      <c r="AA26" s="158" t="s">
        <v>92</v>
      </c>
      <c r="AB26" s="158" t="s">
        <v>92</v>
      </c>
      <c r="AC26" s="158" t="s">
        <v>92</v>
      </c>
      <c r="AD26" s="158" t="s">
        <v>92</v>
      </c>
      <c r="AE26" s="158" t="s">
        <v>92</v>
      </c>
      <c r="AF26" s="158" t="s">
        <v>92</v>
      </c>
      <c r="AG26" s="158" t="s">
        <v>92</v>
      </c>
      <c r="AH26" s="158" t="s">
        <v>92</v>
      </c>
      <c r="AI26" s="158" t="s">
        <v>92</v>
      </c>
      <c r="AJ26" s="158" t="s">
        <v>92</v>
      </c>
      <c r="AK26" s="158" t="s">
        <v>92</v>
      </c>
      <c r="AL26" s="158" t="s">
        <v>92</v>
      </c>
      <c r="AM26" s="158" t="s">
        <v>92</v>
      </c>
      <c r="AN26" s="158" t="s">
        <v>92</v>
      </c>
      <c r="AO26" s="158" t="s">
        <v>92</v>
      </c>
    </row>
    <row r="27" spans="1:41" ht="26.1" customHeight="1" thickBot="1" x14ac:dyDescent="0.3">
      <c r="A27" s="1" t="s">
        <v>89</v>
      </c>
      <c r="B27" s="17">
        <v>16</v>
      </c>
      <c r="C27" s="199" t="str">
        <f>VLOOKUP(B27,Começo!A:D,3,0)</f>
        <v>Colorimetria</v>
      </c>
      <c r="D27" s="199"/>
      <c r="E27" s="199"/>
      <c r="F27" s="199"/>
      <c r="G27" s="194">
        <f>IFERROR(COUNTIF(Tabela1[#This Row],"sim"),"")*Começo!D29+SUM(Tabela1[#This Row])</f>
        <v>0</v>
      </c>
      <c r="H27" s="194"/>
      <c r="I27" s="194"/>
      <c r="J27" s="194"/>
      <c r="K27" s="158" t="s">
        <v>92</v>
      </c>
      <c r="L27" s="158" t="s">
        <v>92</v>
      </c>
      <c r="M27" s="158" t="s">
        <v>92</v>
      </c>
      <c r="N27" s="158" t="s">
        <v>92</v>
      </c>
      <c r="O27" s="158" t="s">
        <v>92</v>
      </c>
      <c r="P27" s="158" t="s">
        <v>92</v>
      </c>
      <c r="Q27" s="158" t="s">
        <v>92</v>
      </c>
      <c r="R27" s="158" t="s">
        <v>92</v>
      </c>
      <c r="S27" s="158" t="s">
        <v>92</v>
      </c>
      <c r="T27" s="158" t="s">
        <v>92</v>
      </c>
      <c r="U27" s="158" t="s">
        <v>92</v>
      </c>
      <c r="V27" s="158" t="s">
        <v>92</v>
      </c>
      <c r="W27" s="158" t="s">
        <v>92</v>
      </c>
      <c r="X27" s="158" t="s">
        <v>92</v>
      </c>
      <c r="Y27" s="158" t="s">
        <v>92</v>
      </c>
      <c r="Z27" s="158" t="s">
        <v>92</v>
      </c>
      <c r="AA27" s="158" t="s">
        <v>92</v>
      </c>
      <c r="AB27" s="158" t="s">
        <v>92</v>
      </c>
      <c r="AC27" s="158" t="s">
        <v>92</v>
      </c>
      <c r="AD27" s="158" t="s">
        <v>92</v>
      </c>
      <c r="AE27" s="158" t="s">
        <v>92</v>
      </c>
      <c r="AF27" s="158" t="s">
        <v>92</v>
      </c>
      <c r="AG27" s="158" t="s">
        <v>92</v>
      </c>
      <c r="AH27" s="158" t="s">
        <v>92</v>
      </c>
      <c r="AI27" s="158" t="s">
        <v>92</v>
      </c>
      <c r="AJ27" s="158" t="s">
        <v>92</v>
      </c>
      <c r="AK27" s="158" t="s">
        <v>92</v>
      </c>
      <c r="AL27" s="158" t="s">
        <v>92</v>
      </c>
      <c r="AM27" s="158" t="s">
        <v>92</v>
      </c>
      <c r="AN27" s="158" t="s">
        <v>92</v>
      </c>
      <c r="AO27" s="158" t="s">
        <v>92</v>
      </c>
    </row>
    <row r="28" spans="1:41" ht="16.5" x14ac:dyDescent="0.25">
      <c r="K28" s="159">
        <f>SUBTOTAL(109,Tabela1[1-jan])</f>
        <v>6.25E-2</v>
      </c>
      <c r="L28" s="159">
        <f>SUBTOTAL(109,Tabela1[2-jan])</f>
        <v>2.0833333333333332E-2</v>
      </c>
      <c r="M28" s="159">
        <f>SUBTOTAL(109,Tabela1[3-jan])</f>
        <v>8.3333333333333329E-2</v>
      </c>
      <c r="N28" s="159">
        <f>SUBTOTAL(109,Tabela1[4-jan])</f>
        <v>0</v>
      </c>
      <c r="O28" s="159">
        <f>SUBTOTAL(109,Tabela1[5-jan])</f>
        <v>8.3333333333333329E-2</v>
      </c>
      <c r="P28" s="159">
        <f>SUBTOTAL(109,Tabela1[6-jan])</f>
        <v>0.14583333333333334</v>
      </c>
      <c r="Q28" s="159">
        <f>SUBTOTAL(109,Tabela1[7-jan])</f>
        <v>2.0833333333333332E-2</v>
      </c>
      <c r="R28" s="159">
        <f>SUBTOTAL(109,Tabela1[8-jan])</f>
        <v>6.25E-2</v>
      </c>
      <c r="S28" s="159">
        <f>SUBTOTAL(109,Tabela1[9-jan])</f>
        <v>0.10416666666666667</v>
      </c>
      <c r="T28" s="159">
        <f>SUBTOTAL(109,Tabela1[10-jan])</f>
        <v>8.3333333333333329E-2</v>
      </c>
      <c r="U28" s="159">
        <f>SUBTOTAL(109,Tabela1[11-jan])</f>
        <v>0</v>
      </c>
      <c r="V28" s="159">
        <f>SUBTOTAL(109,Tabela1[12-jan])</f>
        <v>0</v>
      </c>
      <c r="W28" s="159">
        <f>SUBTOTAL(109,Tabela1[13-jan])</f>
        <v>0.125</v>
      </c>
      <c r="X28" s="159">
        <f>SUBTOTAL(109,Tabela1[14-jan])</f>
        <v>0</v>
      </c>
      <c r="Y28" s="159">
        <f>SUBTOTAL(109,Tabela1[15-jan])</f>
        <v>0</v>
      </c>
      <c r="Z28" s="159">
        <f>SUBTOTAL(109,Tabela1[16-jan])</f>
        <v>6.25E-2</v>
      </c>
      <c r="AA28" s="159">
        <f>SUBTOTAL(109,Tabela1[17-jan])</f>
        <v>0.125</v>
      </c>
      <c r="AB28" s="159">
        <f>SUBTOTAL(109,Tabela1[18-jan])</f>
        <v>2.0833333333333332E-2</v>
      </c>
      <c r="AC28" s="159">
        <f>SUBTOTAL(109,Tabela1[19-jan])</f>
        <v>0.14583333333333334</v>
      </c>
      <c r="AD28" s="159">
        <f>SUBTOTAL(109,Tabela1[20-jan])</f>
        <v>0.16666666666666666</v>
      </c>
      <c r="AE28" s="159">
        <f>SUBTOTAL(109,Tabela1[21-jan])</f>
        <v>0.10416666666666667</v>
      </c>
      <c r="AF28" s="159">
        <f>SUBTOTAL(109,Tabela1[22-jan])</f>
        <v>4.1666666666666664E-2</v>
      </c>
      <c r="AG28" s="159">
        <f>SUBTOTAL(109,Tabela1[23-jan])</f>
        <v>0</v>
      </c>
      <c r="AH28" s="159">
        <f>SUBTOTAL(109,Tabela1[24-jan])</f>
        <v>0.10416666666666667</v>
      </c>
      <c r="AI28" s="159">
        <f>SUBTOTAL(109,Tabela1[25-jan])</f>
        <v>0.16666666666666666</v>
      </c>
      <c r="AJ28" s="159">
        <f>SUBTOTAL(109,Tabela1[26-jan])</f>
        <v>8.3333333333333329E-2</v>
      </c>
      <c r="AK28" s="159">
        <f>SUBTOTAL(109,Tabela1[27-jan])</f>
        <v>2.0833333333333332E-2</v>
      </c>
      <c r="AL28" s="159">
        <f>SUBTOTAL(109,Tabela1[28-jan])</f>
        <v>0</v>
      </c>
      <c r="AM28" s="159">
        <f>SUBTOTAL(109,Tabela1[29-jan])</f>
        <v>0</v>
      </c>
      <c r="AN28" s="159">
        <f>SUBTOTAL(109,Tabela1[30-jan])</f>
        <v>8.3333333333333329E-2</v>
      </c>
      <c r="AO28" s="159">
        <f>SUBTOTAL(109,Tabela1[31-jan])</f>
        <v>2.0833333333333332E-2</v>
      </c>
    </row>
    <row r="31" spans="1:41" x14ac:dyDescent="0.25">
      <c r="B31" s="188"/>
      <c r="C31" s="188"/>
    </row>
    <row r="32" spans="1:41" x14ac:dyDescent="0.25">
      <c r="B32" s="188"/>
      <c r="C32" s="188"/>
    </row>
  </sheetData>
  <sheetProtection algorithmName="SHA-512" hashValue="Q8BNpn4NpphLQpEqEjhdYLj+E1wrdbmZOXzWDx8Pty5Fs8uBN1yS0+b8A4aJoDLoUZO9f7c/mh3ll57lNRzygA==" saltValue="DHdlV0mGRn+3B1nfMSfirA==" spinCount="100000" sheet="1" objects="1" scenarios="1"/>
  <mergeCells count="49">
    <mergeCell ref="C16:F16"/>
    <mergeCell ref="C18:F18"/>
    <mergeCell ref="C19:F19"/>
    <mergeCell ref="C20:F20"/>
    <mergeCell ref="C21:F21"/>
    <mergeCell ref="C17:F17"/>
    <mergeCell ref="C22:F22"/>
    <mergeCell ref="C23:F23"/>
    <mergeCell ref="C24:F24"/>
    <mergeCell ref="G24:J24"/>
    <mergeCell ref="C27:F27"/>
    <mergeCell ref="C25:F25"/>
    <mergeCell ref="C26:F26"/>
    <mergeCell ref="G25:J25"/>
    <mergeCell ref="G26:J26"/>
    <mergeCell ref="G27:J27"/>
    <mergeCell ref="G22:J22"/>
    <mergeCell ref="G23:J23"/>
    <mergeCell ref="G15:J15"/>
    <mergeCell ref="C12:F12"/>
    <mergeCell ref="C13:F13"/>
    <mergeCell ref="C14:F14"/>
    <mergeCell ref="C15:F15"/>
    <mergeCell ref="M8:M9"/>
    <mergeCell ref="B11:F11"/>
    <mergeCell ref="G12:J12"/>
    <mergeCell ref="G13:J13"/>
    <mergeCell ref="G14:J14"/>
    <mergeCell ref="B8:B9"/>
    <mergeCell ref="C8:C9"/>
    <mergeCell ref="D8:D9"/>
    <mergeCell ref="E8:E9"/>
    <mergeCell ref="F8:F9"/>
    <mergeCell ref="B31:C32"/>
    <mergeCell ref="O7:Q7"/>
    <mergeCell ref="G18:J18"/>
    <mergeCell ref="G19:J19"/>
    <mergeCell ref="G20:J20"/>
    <mergeCell ref="G21:J21"/>
    <mergeCell ref="G11:J11"/>
    <mergeCell ref="O8:Q9"/>
    <mergeCell ref="G16:J16"/>
    <mergeCell ref="G17:J17"/>
    <mergeCell ref="G8:G9"/>
    <mergeCell ref="H8:H9"/>
    <mergeCell ref="I8:I9"/>
    <mergeCell ref="J8:J9"/>
    <mergeCell ref="K8:K9"/>
    <mergeCell ref="L8:L9"/>
  </mergeCells>
  <conditionalFormatting sqref="K12:AO27">
    <cfRule type="containsText" dxfId="191" priority="4" operator="containsText" text="não">
      <formula>NOT(ISERROR(SEARCH("não",K12)))</formula>
    </cfRule>
    <cfRule type="containsText" dxfId="190" priority="5" operator="containsText" text="sim">
      <formula>NOT(ISERROR(SEARCH("sim",K12)))</formula>
    </cfRule>
  </conditionalFormatting>
  <conditionalFormatting sqref="G12:J2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{5EFF0DDD-9185-4005-99BD-3A8BC6C77589}</x14:id>
        </ext>
      </extLst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{53CAE125-2BD0-4101-B44E-3D4881312DC4}</x14:id>
        </ext>
      </extLst>
    </cfRule>
  </conditionalFormatting>
  <dataValidations count="1">
    <dataValidation type="list" allowBlank="1" showInputMessage="1" showErrorMessage="1" sqref="K12:AO27" xr:uid="{00000000-0002-0000-0200-000000000000}">
      <formula1>"Sim,Não,00:30,01:00,01:30,02:00,02:30,03:00,03:30,04:00"</formula1>
    </dataValidation>
  </dataValidations>
  <hyperlinks>
    <hyperlink ref="B8" location="Desempenho!A1" display="janeiro" xr:uid="{00000000-0004-0000-0200-000000000000}"/>
    <hyperlink ref="C8" location="fev!A1" display="Fevereiro" xr:uid="{00000000-0004-0000-0200-000001000000}"/>
    <hyperlink ref="D8" location="mar!A1" display="Março" xr:uid="{00000000-0004-0000-0200-000002000000}"/>
    <hyperlink ref="E8" location="abr!A1" display="Abril" xr:uid="{00000000-0004-0000-0200-000003000000}"/>
    <hyperlink ref="F8" location="maio!A1" display="Maio" xr:uid="{00000000-0004-0000-0200-000004000000}"/>
    <hyperlink ref="G8" location="jun!A1" display="Junho" xr:uid="{00000000-0004-0000-0200-000005000000}"/>
    <hyperlink ref="H8" location="jul!A1" display="Julho" xr:uid="{00000000-0004-0000-0200-000006000000}"/>
    <hyperlink ref="I8" location="ago!A1" display="Agosto" xr:uid="{00000000-0004-0000-0200-000007000000}"/>
    <hyperlink ref="J8" location="set!A1" display="Setembro" xr:uid="{00000000-0004-0000-0200-000008000000}"/>
    <hyperlink ref="K8" location="out!A1" display="Outubro" xr:uid="{00000000-0004-0000-0200-000009000000}"/>
    <hyperlink ref="L8" location="nov!A1" display="Novembro" xr:uid="{00000000-0004-0000-0200-00000A000000}"/>
    <hyperlink ref="M8" location="dez!A1" display="Dezembro" xr:uid="{00000000-0004-0000-0200-00000B000000}"/>
  </hyperlinks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EFF0DDD-9185-4005-99BD-3A8BC6C77589}">
            <x14:dataBar minLength="0" maxLength="100" gradient="0">
              <x14:cfvo type="autoMin"/>
              <x14:cfvo type="autoMax"/>
              <x14:negativeFillColor rgb="FFFF0000"/>
              <x14:axisColor theme="0"/>
            </x14:dataBar>
          </x14:cfRule>
          <x14:cfRule type="dataBar" id="{53CAE125-2BD0-4101-B44E-3D4881312D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G12:J27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1"/>
  <dimension ref="A1:M55"/>
  <sheetViews>
    <sheetView showGridLines="0" showRowColHeaders="0" workbookViewId="0">
      <pane ySplit="4" topLeftCell="A5" activePane="bottomLeft" state="frozen"/>
      <selection activeCell="A5" sqref="A5"/>
      <selection pane="bottomLeft"/>
    </sheetView>
  </sheetViews>
  <sheetFormatPr defaultRowHeight="15" x14ac:dyDescent="0.25"/>
  <cols>
    <col min="1" max="8" width="18.7109375" style="27" customWidth="1"/>
    <col min="9" max="9" width="3" style="27" customWidth="1"/>
    <col min="10" max="16384" width="9.140625" style="27"/>
  </cols>
  <sheetData>
    <row r="1" spans="1:13" s="38" customFormat="1" x14ac:dyDescent="0.25"/>
    <row r="2" spans="1:13" s="38" customFormat="1" x14ac:dyDescent="0.25"/>
    <row r="3" spans="1:13" s="38" customFormat="1" x14ac:dyDescent="0.25"/>
    <row r="4" spans="1:13" s="38" customFormat="1" x14ac:dyDescent="0.25"/>
    <row r="5" spans="1:13" s="63" customFormat="1" ht="3.95" customHeight="1" x14ac:dyDescent="0.25"/>
    <row r="6" spans="1:13" ht="15" customHeight="1" x14ac:dyDescent="0.25"/>
    <row r="7" spans="1:13" ht="18" customHeight="1" x14ac:dyDescent="0.25">
      <c r="A7" s="9" t="s">
        <v>24</v>
      </c>
      <c r="B7" s="9"/>
      <c r="C7" s="2"/>
      <c r="D7" s="200" t="s">
        <v>42</v>
      </c>
      <c r="E7" s="200"/>
      <c r="F7" s="33"/>
      <c r="G7" s="201" t="s">
        <v>43</v>
      </c>
      <c r="H7" s="201"/>
      <c r="K7" s="188"/>
      <c r="L7" s="188"/>
    </row>
    <row r="8" spans="1:13" ht="15" customHeight="1" x14ac:dyDescent="0.25">
      <c r="A8" s="203">
        <f>SUM(Calculos!A8:A14)</f>
        <v>0</v>
      </c>
      <c r="B8" s="204"/>
      <c r="C8" s="5"/>
      <c r="D8" s="211">
        <f>SUM(Calculos!B8:B14)</f>
        <v>0</v>
      </c>
      <c r="E8" s="211"/>
      <c r="G8" s="202">
        <f>SUM(Calculos!C8:C14)</f>
        <v>0</v>
      </c>
      <c r="H8" s="202"/>
      <c r="K8" s="188"/>
      <c r="L8" s="188"/>
    </row>
    <row r="9" spans="1:13" ht="15" customHeight="1" x14ac:dyDescent="0.25">
      <c r="A9" s="205"/>
      <c r="B9" s="206"/>
      <c r="C9" s="5"/>
      <c r="D9" s="211"/>
      <c r="E9" s="211"/>
      <c r="G9" s="202"/>
      <c r="H9" s="202"/>
    </row>
    <row r="10" spans="1:13" ht="15" customHeight="1" x14ac:dyDescent="0.25">
      <c r="A10" s="205"/>
      <c r="B10" s="206"/>
      <c r="C10" s="5"/>
      <c r="D10" s="211"/>
      <c r="E10" s="211"/>
      <c r="G10" s="202"/>
      <c r="H10" s="202"/>
      <c r="M10" s="33"/>
    </row>
    <row r="11" spans="1:13" ht="15" customHeight="1" thickBot="1" x14ac:dyDescent="0.3">
      <c r="B11" s="34"/>
    </row>
    <row r="12" spans="1:13" ht="30" customHeight="1" thickBot="1" x14ac:dyDescent="0.3">
      <c r="A12" s="3" t="s">
        <v>41</v>
      </c>
      <c r="B12" s="12">
        <f>SUM(Calculos!A8:C8)</f>
        <v>0</v>
      </c>
      <c r="C12" s="13">
        <f>SUM(Calculos!A9:C9)</f>
        <v>0</v>
      </c>
      <c r="D12" s="13">
        <f>SUM(Calculos!A10:C10)</f>
        <v>0</v>
      </c>
      <c r="E12" s="13">
        <f>SUM(Calculos!A11:C11)</f>
        <v>0</v>
      </c>
      <c r="F12" s="13">
        <f>SUM(Calculos!A12:C12)</f>
        <v>0</v>
      </c>
      <c r="G12" s="13">
        <f>SUM(Calculos!A13:C13)</f>
        <v>0</v>
      </c>
      <c r="H12" s="13">
        <f>SUM(Calculos!A14:C14)</f>
        <v>0</v>
      </c>
    </row>
    <row r="13" spans="1:13" ht="25.5" customHeight="1" thickBot="1" x14ac:dyDescent="0.3">
      <c r="A13" s="35" t="s">
        <v>2</v>
      </c>
      <c r="B13" s="36" t="s">
        <v>3</v>
      </c>
      <c r="C13" s="36" t="s">
        <v>4</v>
      </c>
      <c r="D13" s="36" t="s">
        <v>5</v>
      </c>
      <c r="E13" s="36" t="s">
        <v>6</v>
      </c>
      <c r="F13" s="36" t="s">
        <v>7</v>
      </c>
      <c r="G13" s="36" t="s">
        <v>8</v>
      </c>
      <c r="H13" s="36" t="s">
        <v>9</v>
      </c>
    </row>
    <row r="14" spans="1:13" ht="30" customHeight="1" thickTop="1" thickBot="1" x14ac:dyDescent="0.3">
      <c r="A14" s="6" t="s">
        <v>10</v>
      </c>
      <c r="B14" s="43" t="s">
        <v>540</v>
      </c>
      <c r="C14" s="43" t="s">
        <v>541</v>
      </c>
      <c r="D14" s="43" t="s">
        <v>542</v>
      </c>
      <c r="E14" s="43" t="s">
        <v>543</v>
      </c>
      <c r="F14" s="43" t="s">
        <v>544</v>
      </c>
      <c r="G14" s="43" t="s">
        <v>545</v>
      </c>
      <c r="H14" s="43" t="s">
        <v>546</v>
      </c>
      <c r="J14" s="207" t="s">
        <v>69</v>
      </c>
      <c r="K14" s="207"/>
      <c r="L14" s="207"/>
    </row>
    <row r="15" spans="1:13" ht="30" customHeight="1" thickTop="1" thickBot="1" x14ac:dyDescent="0.3">
      <c r="A15" s="6" t="s">
        <v>11</v>
      </c>
      <c r="B15" s="43" t="s">
        <v>541</v>
      </c>
      <c r="C15" s="43"/>
      <c r="D15" s="43"/>
      <c r="E15" s="43"/>
      <c r="F15" s="43"/>
      <c r="G15" s="43"/>
      <c r="H15" s="43"/>
      <c r="I15" s="18"/>
      <c r="J15" s="208">
        <f>SUM(B12:H12)</f>
        <v>0</v>
      </c>
      <c r="K15" s="208"/>
      <c r="L15" s="208"/>
    </row>
    <row r="16" spans="1:13" ht="30" customHeight="1" thickTop="1" thickBot="1" x14ac:dyDescent="0.3">
      <c r="A16" s="6" t="s">
        <v>12</v>
      </c>
      <c r="B16" s="43" t="s">
        <v>542</v>
      </c>
      <c r="C16" s="43"/>
      <c r="D16" s="43"/>
      <c r="E16" s="43"/>
      <c r="F16" s="43"/>
      <c r="G16" s="43"/>
      <c r="H16" s="43"/>
      <c r="J16" s="208"/>
      <c r="K16" s="208"/>
      <c r="L16" s="208"/>
    </row>
    <row r="17" spans="1:12" ht="30" customHeight="1" thickTop="1" thickBot="1" x14ac:dyDescent="0.3">
      <c r="A17" s="6" t="s">
        <v>13</v>
      </c>
      <c r="B17" s="43" t="s">
        <v>543</v>
      </c>
      <c r="C17" s="43"/>
      <c r="D17" s="43"/>
      <c r="E17" s="43"/>
      <c r="F17" s="43"/>
      <c r="G17" s="43"/>
      <c r="H17" s="43"/>
      <c r="J17" s="208"/>
      <c r="K17" s="208"/>
      <c r="L17" s="208"/>
    </row>
    <row r="18" spans="1:12" ht="30" customHeight="1" thickTop="1" thickBot="1" x14ac:dyDescent="0.3">
      <c r="A18" s="6" t="s">
        <v>46</v>
      </c>
      <c r="B18" s="43" t="s">
        <v>544</v>
      </c>
      <c r="C18" s="43"/>
      <c r="D18" s="43"/>
      <c r="E18" s="43"/>
      <c r="F18" s="43"/>
      <c r="G18" s="43"/>
      <c r="H18" s="43"/>
      <c r="J18" s="208"/>
      <c r="K18" s="208"/>
      <c r="L18" s="208"/>
    </row>
    <row r="19" spans="1:12" ht="30" customHeight="1" thickTop="1" thickBot="1" x14ac:dyDescent="0.3">
      <c r="A19" s="7" t="s">
        <v>15</v>
      </c>
      <c r="B19" s="43" t="s">
        <v>545</v>
      </c>
      <c r="C19" s="43"/>
      <c r="D19" s="43"/>
      <c r="E19" s="43"/>
      <c r="F19" s="43"/>
      <c r="G19" s="43"/>
      <c r="H19" s="43"/>
      <c r="J19" s="208"/>
      <c r="K19" s="208"/>
      <c r="L19" s="208"/>
    </row>
    <row r="20" spans="1:12" ht="30" customHeight="1" thickBot="1" x14ac:dyDescent="0.3">
      <c r="A20" s="8" t="s">
        <v>14</v>
      </c>
      <c r="B20" s="43" t="s">
        <v>546</v>
      </c>
      <c r="C20" s="43"/>
      <c r="D20" s="43"/>
      <c r="E20" s="43"/>
      <c r="F20" s="43"/>
      <c r="G20" s="43"/>
      <c r="H20" s="43"/>
    </row>
    <row r="21" spans="1:12" ht="30" customHeight="1" thickTop="1" thickBot="1" x14ac:dyDescent="0.3">
      <c r="A21" s="6" t="s">
        <v>16</v>
      </c>
      <c r="B21" s="43" t="s">
        <v>547</v>
      </c>
      <c r="C21" s="43"/>
      <c r="D21" s="43"/>
      <c r="E21" s="43"/>
      <c r="F21" s="43"/>
      <c r="G21" s="43"/>
      <c r="H21" s="43"/>
    </row>
    <row r="22" spans="1:12" ht="30" customHeight="1" thickTop="1" thickBot="1" x14ac:dyDescent="0.3">
      <c r="A22" s="6" t="s">
        <v>17</v>
      </c>
      <c r="B22" s="43" t="s">
        <v>548</v>
      </c>
      <c r="C22" s="43"/>
      <c r="D22" s="43"/>
      <c r="E22" s="43"/>
      <c r="F22" s="43"/>
      <c r="G22" s="43"/>
      <c r="H22" s="43"/>
      <c r="J22" s="209" t="s">
        <v>483</v>
      </c>
      <c r="K22" s="209"/>
      <c r="L22" s="209"/>
    </row>
    <row r="23" spans="1:12" ht="30" customHeight="1" thickTop="1" thickBot="1" x14ac:dyDescent="0.3">
      <c r="A23" s="6" t="s">
        <v>18</v>
      </c>
      <c r="B23" s="43" t="s">
        <v>549</v>
      </c>
      <c r="C23" s="43"/>
      <c r="D23" s="43"/>
      <c r="E23" s="43"/>
      <c r="F23" s="43"/>
      <c r="G23" s="43"/>
      <c r="H23" s="43"/>
      <c r="I23" s="33"/>
      <c r="J23" s="210">
        <f>IF(SUM(B12:H12)/7&gt;=0.3,"Atenção Vá Devagar",SUM(B12:H12)/7)</f>
        <v>0</v>
      </c>
      <c r="K23" s="210"/>
      <c r="L23" s="210"/>
    </row>
    <row r="24" spans="1:12" ht="30" customHeight="1" thickTop="1" thickBot="1" x14ac:dyDescent="0.3">
      <c r="A24" s="6" t="s">
        <v>19</v>
      </c>
      <c r="B24" s="43" t="s">
        <v>550</v>
      </c>
      <c r="C24" s="43"/>
      <c r="D24" s="43"/>
      <c r="E24" s="43"/>
      <c r="F24" s="43"/>
      <c r="G24" s="43"/>
      <c r="H24" s="43"/>
      <c r="J24" s="210"/>
      <c r="K24" s="210"/>
      <c r="L24" s="210"/>
    </row>
    <row r="25" spans="1:12" ht="30" customHeight="1" thickTop="1" thickBot="1" x14ac:dyDescent="0.3">
      <c r="A25" s="6" t="s">
        <v>20</v>
      </c>
      <c r="B25" s="43" t="s">
        <v>551</v>
      </c>
      <c r="C25" s="43"/>
      <c r="D25" s="43"/>
      <c r="E25" s="43"/>
      <c r="F25" s="43"/>
      <c r="G25" s="43"/>
      <c r="H25" s="43"/>
      <c r="J25" s="210"/>
      <c r="K25" s="210"/>
      <c r="L25" s="210"/>
    </row>
    <row r="26" spans="1:12" ht="30" customHeight="1" thickTop="1" thickBot="1" x14ac:dyDescent="0.3">
      <c r="A26" s="6" t="s">
        <v>21</v>
      </c>
      <c r="B26" s="43" t="s">
        <v>552</v>
      </c>
      <c r="C26" s="43"/>
      <c r="D26" s="43"/>
      <c r="E26" s="43"/>
      <c r="F26" s="43"/>
      <c r="G26" s="43"/>
      <c r="H26" s="43"/>
      <c r="J26" s="210"/>
      <c r="K26" s="210"/>
      <c r="L26" s="210"/>
    </row>
    <row r="27" spans="1:12" ht="30" customHeight="1" thickTop="1" thickBot="1" x14ac:dyDescent="0.3">
      <c r="A27" s="6" t="s">
        <v>22</v>
      </c>
      <c r="B27" s="43" t="s">
        <v>553</v>
      </c>
      <c r="C27" s="43"/>
      <c r="D27" s="43"/>
      <c r="E27" s="43"/>
      <c r="F27" s="43"/>
      <c r="G27" s="43"/>
      <c r="H27" s="43"/>
      <c r="J27" s="210"/>
      <c r="K27" s="210"/>
      <c r="L27" s="210"/>
    </row>
    <row r="28" spans="1:12" ht="30" customHeight="1" thickTop="1" thickBot="1" x14ac:dyDescent="0.3">
      <c r="A28" s="6" t="s">
        <v>23</v>
      </c>
      <c r="B28" s="43" t="s">
        <v>554</v>
      </c>
      <c r="C28" s="43"/>
      <c r="D28" s="43"/>
      <c r="E28" s="43"/>
      <c r="F28" s="43"/>
      <c r="G28" s="43"/>
      <c r="H28" s="43"/>
    </row>
    <row r="29" spans="1:12" ht="30" customHeight="1" thickTop="1" thickBot="1" x14ac:dyDescent="0.3">
      <c r="A29" s="6" t="s">
        <v>47</v>
      </c>
      <c r="B29" s="43" t="s">
        <v>555</v>
      </c>
      <c r="C29" s="43"/>
      <c r="D29" s="43"/>
      <c r="E29" s="43"/>
      <c r="F29" s="43"/>
      <c r="G29" s="43"/>
      <c r="H29" s="43"/>
    </row>
    <row r="30" spans="1:12" ht="30" customHeight="1" thickTop="1" thickBot="1" x14ac:dyDescent="0.3">
      <c r="A30" s="6" t="s">
        <v>48</v>
      </c>
      <c r="B30" s="43" t="s">
        <v>556</v>
      </c>
      <c r="C30" s="43"/>
      <c r="D30" s="43"/>
      <c r="E30" s="43"/>
      <c r="F30" s="43"/>
      <c r="G30" s="43"/>
      <c r="H30" s="43"/>
    </row>
    <row r="31" spans="1:12" ht="30" customHeight="1" thickTop="1" thickBot="1" x14ac:dyDescent="0.3">
      <c r="A31" s="6" t="s">
        <v>49</v>
      </c>
      <c r="B31" s="43" t="s">
        <v>557</v>
      </c>
      <c r="C31" s="43"/>
      <c r="D31" s="43"/>
      <c r="E31" s="43"/>
      <c r="F31" s="43"/>
      <c r="G31" s="43"/>
      <c r="H31" s="43"/>
    </row>
    <row r="32" spans="1:12" ht="30" customHeight="1" thickTop="1" thickBot="1" x14ac:dyDescent="0.3">
      <c r="A32" s="6" t="s">
        <v>50</v>
      </c>
      <c r="B32" s="43" t="s">
        <v>558</v>
      </c>
      <c r="C32" s="43"/>
      <c r="D32" s="43"/>
      <c r="E32" s="43"/>
      <c r="F32" s="43"/>
      <c r="G32" s="43"/>
      <c r="H32" s="43"/>
    </row>
    <row r="33" spans="1:8" ht="30" customHeight="1" thickTop="1" thickBot="1" x14ac:dyDescent="0.3">
      <c r="A33" s="6" t="s">
        <v>51</v>
      </c>
      <c r="B33" s="43" t="s">
        <v>559</v>
      </c>
      <c r="C33" s="43"/>
      <c r="D33" s="43"/>
      <c r="E33" s="43"/>
      <c r="F33" s="43"/>
      <c r="G33" s="43"/>
      <c r="H33" s="43"/>
    </row>
    <row r="34" spans="1:8" ht="30" customHeight="1" thickTop="1" thickBot="1" x14ac:dyDescent="0.3">
      <c r="A34" s="6" t="s">
        <v>52</v>
      </c>
      <c r="B34" s="43" t="s">
        <v>560</v>
      </c>
      <c r="C34" s="43"/>
      <c r="D34" s="43"/>
      <c r="E34" s="43"/>
      <c r="F34" s="43"/>
      <c r="G34" s="43"/>
      <c r="H34" s="43"/>
    </row>
    <row r="35" spans="1:8" ht="30" customHeight="1" thickTop="1" thickBot="1" x14ac:dyDescent="0.3">
      <c r="A35" s="6" t="s">
        <v>53</v>
      </c>
      <c r="B35" s="43" t="s">
        <v>561</v>
      </c>
      <c r="C35" s="43"/>
      <c r="D35" s="43"/>
      <c r="E35" s="43"/>
      <c r="F35" s="43"/>
      <c r="G35" s="43"/>
      <c r="H35" s="43"/>
    </row>
    <row r="36" spans="1:8" ht="30" customHeight="1" thickTop="1" thickBot="1" x14ac:dyDescent="0.3">
      <c r="A36" s="6" t="s">
        <v>54</v>
      </c>
      <c r="B36" s="43" t="s">
        <v>562</v>
      </c>
      <c r="C36" s="43"/>
      <c r="D36" s="43"/>
      <c r="E36" s="43"/>
      <c r="F36" s="43"/>
      <c r="G36" s="43"/>
      <c r="H36" s="43"/>
    </row>
    <row r="37" spans="1:8" ht="30" customHeight="1" thickTop="1" thickBot="1" x14ac:dyDescent="0.3">
      <c r="A37" s="6" t="s">
        <v>55</v>
      </c>
      <c r="B37" s="43" t="s">
        <v>563</v>
      </c>
      <c r="C37" s="43"/>
      <c r="D37" s="43"/>
      <c r="E37" s="43"/>
      <c r="F37" s="43"/>
      <c r="G37" s="43"/>
      <c r="H37" s="43"/>
    </row>
    <row r="38" spans="1:8" ht="30" customHeight="1" thickTop="1" thickBot="1" x14ac:dyDescent="0.3">
      <c r="A38" s="6" t="s">
        <v>56</v>
      </c>
      <c r="B38" s="43" t="s">
        <v>564</v>
      </c>
      <c r="C38" s="43"/>
      <c r="D38" s="43"/>
      <c r="E38" s="43"/>
      <c r="F38" s="43"/>
      <c r="G38" s="43"/>
      <c r="H38" s="43"/>
    </row>
    <row r="39" spans="1:8" ht="30" customHeight="1" thickTop="1" thickBot="1" x14ac:dyDescent="0.3">
      <c r="A39" s="6" t="s">
        <v>57</v>
      </c>
      <c r="B39" s="43" t="s">
        <v>565</v>
      </c>
      <c r="C39" s="43"/>
      <c r="D39" s="43"/>
      <c r="E39" s="43"/>
      <c r="F39" s="43"/>
      <c r="G39" s="43"/>
      <c r="H39" s="43"/>
    </row>
    <row r="40" spans="1:8" ht="30" customHeight="1" thickTop="1" thickBot="1" x14ac:dyDescent="0.3">
      <c r="A40" s="6" t="s">
        <v>58</v>
      </c>
      <c r="B40" s="43" t="s">
        <v>566</v>
      </c>
      <c r="C40" s="43"/>
      <c r="D40" s="43"/>
      <c r="E40" s="43"/>
      <c r="F40" s="43"/>
      <c r="G40" s="43"/>
      <c r="H40" s="43"/>
    </row>
    <row r="41" spans="1:8" ht="30" customHeight="1" thickTop="1" thickBot="1" x14ac:dyDescent="0.3">
      <c r="A41" s="6" t="s">
        <v>59</v>
      </c>
      <c r="B41" s="43" t="s">
        <v>567</v>
      </c>
      <c r="C41" s="43"/>
      <c r="D41" s="43"/>
      <c r="E41" s="43"/>
      <c r="F41" s="43"/>
      <c r="G41" s="43"/>
      <c r="H41" s="43"/>
    </row>
    <row r="42" spans="1:8" ht="30" customHeight="1" thickTop="1" thickBot="1" x14ac:dyDescent="0.3">
      <c r="A42" s="6" t="s">
        <v>60</v>
      </c>
      <c r="B42" s="43" t="s">
        <v>568</v>
      </c>
      <c r="C42" s="43"/>
      <c r="D42" s="43"/>
      <c r="E42" s="43"/>
      <c r="F42" s="43"/>
      <c r="G42" s="43"/>
      <c r="H42" s="43"/>
    </row>
    <row r="43" spans="1:8" ht="30" customHeight="1" thickTop="1" thickBot="1" x14ac:dyDescent="0.3">
      <c r="A43" s="6" t="s">
        <v>61</v>
      </c>
      <c r="B43" s="43" t="s">
        <v>569</v>
      </c>
      <c r="C43" s="43"/>
      <c r="D43" s="43"/>
      <c r="E43" s="43"/>
      <c r="F43" s="43"/>
      <c r="G43" s="43"/>
      <c r="H43" s="43"/>
    </row>
    <row r="44" spans="1:8" ht="30" customHeight="1" thickTop="1" thickBot="1" x14ac:dyDescent="0.3">
      <c r="A44" s="6" t="s">
        <v>62</v>
      </c>
      <c r="B44" s="43" t="s">
        <v>570</v>
      </c>
      <c r="C44" s="43"/>
      <c r="D44" s="43"/>
      <c r="E44" s="43"/>
      <c r="F44" s="43"/>
      <c r="G44" s="43"/>
      <c r="H44" s="43"/>
    </row>
    <row r="45" spans="1:8" ht="30" customHeight="1" thickTop="1" thickBot="1" x14ac:dyDescent="0.3">
      <c r="A45" s="6" t="s">
        <v>63</v>
      </c>
      <c r="B45" s="43" t="s">
        <v>571</v>
      </c>
      <c r="C45" s="43"/>
      <c r="D45" s="43"/>
      <c r="E45" s="43"/>
      <c r="F45" s="43"/>
      <c r="G45" s="43"/>
      <c r="H45" s="43"/>
    </row>
    <row r="46" spans="1:8" ht="30" customHeight="1" thickTop="1" thickBot="1" x14ac:dyDescent="0.3">
      <c r="A46" s="6" t="s">
        <v>64</v>
      </c>
      <c r="B46" s="43" t="s">
        <v>572</v>
      </c>
      <c r="C46" s="43"/>
      <c r="D46" s="43"/>
      <c r="E46" s="43"/>
      <c r="F46" s="43"/>
      <c r="G46" s="43"/>
      <c r="H46" s="43"/>
    </row>
    <row r="47" spans="1:8" ht="30" customHeight="1" thickTop="1" thickBot="1" x14ac:dyDescent="0.3">
      <c r="A47" s="6" t="s">
        <v>65</v>
      </c>
      <c r="B47" s="43" t="s">
        <v>573</v>
      </c>
      <c r="C47" s="43"/>
      <c r="D47" s="43"/>
      <c r="E47" s="43"/>
      <c r="F47" s="43"/>
      <c r="G47" s="43"/>
      <c r="H47" s="43"/>
    </row>
    <row r="48" spans="1:8" ht="30" customHeight="1" thickTop="1" thickBot="1" x14ac:dyDescent="0.3">
      <c r="A48" s="6" t="s">
        <v>66</v>
      </c>
      <c r="B48" s="43" t="s">
        <v>574</v>
      </c>
      <c r="C48" s="43"/>
      <c r="D48" s="43"/>
      <c r="E48" s="43"/>
      <c r="F48" s="43"/>
      <c r="G48" s="43"/>
      <c r="H48" s="43"/>
    </row>
    <row r="49" spans="1:8" ht="30" customHeight="1" thickTop="1" thickBot="1" x14ac:dyDescent="0.3">
      <c r="A49" s="6" t="s">
        <v>67</v>
      </c>
      <c r="B49" s="43" t="s">
        <v>575</v>
      </c>
      <c r="C49" s="43"/>
      <c r="D49" s="43"/>
      <c r="E49" s="43"/>
      <c r="F49" s="43"/>
      <c r="G49" s="43"/>
      <c r="H49" s="43"/>
    </row>
    <row r="50" spans="1:8" ht="30" customHeight="1" thickTop="1" thickBot="1" x14ac:dyDescent="0.3">
      <c r="A50" s="6" t="s">
        <v>68</v>
      </c>
      <c r="B50" s="43" t="s">
        <v>576</v>
      </c>
      <c r="C50" s="43"/>
      <c r="D50" s="43"/>
      <c r="E50" s="43"/>
      <c r="F50" s="43"/>
      <c r="G50" s="43"/>
      <c r="H50" s="43"/>
    </row>
    <row r="51" spans="1:8" ht="16.5" thickTop="1" x14ac:dyDescent="0.25">
      <c r="A51" s="4"/>
      <c r="B51" s="37"/>
      <c r="C51" s="37"/>
      <c r="D51" s="37"/>
    </row>
    <row r="54" spans="1:8" ht="15" customHeight="1" x14ac:dyDescent="0.25"/>
    <row r="55" spans="1:8" ht="15.75" customHeight="1" x14ac:dyDescent="0.25"/>
  </sheetData>
  <sheetProtection algorithmName="SHA-512" hashValue="RtPn5g/yi1XNH4vJ78Rgsa18DTq4ip+/KSTaKUPnePt+v3CoLlINw+hdczFgumeiNt43wUFqJwmr1h5AK9tLxg==" saltValue="782zxr6zSUC4S9zrKOVqaw==" spinCount="100000" sheet="1" objects="1" scenarios="1"/>
  <mergeCells count="10">
    <mergeCell ref="J14:L14"/>
    <mergeCell ref="J15:L19"/>
    <mergeCell ref="J22:L22"/>
    <mergeCell ref="J23:L27"/>
    <mergeCell ref="D8:E10"/>
    <mergeCell ref="D7:E7"/>
    <mergeCell ref="G7:H7"/>
    <mergeCell ref="G8:H10"/>
    <mergeCell ref="K7:L8"/>
    <mergeCell ref="A8:B10"/>
  </mergeCells>
  <phoneticPr fontId="65" type="noConversion"/>
  <conditionalFormatting sqref="J14 B14:H50">
    <cfRule type="containsText" dxfId="189" priority="7" operator="containsText" text="aula">
      <formula>NOT(ISERROR(SEARCH("aula",B14)))</formula>
    </cfRule>
    <cfRule type="containsText" dxfId="188" priority="8" operator="containsText" text="revisao">
      <formula>NOT(ISERROR(SEARCH("revisao",B14)))</formula>
    </cfRule>
    <cfRule type="containsText" dxfId="187" priority="9" operator="containsText" text="simulado">
      <formula>NOT(ISERROR(SEARCH("simulado",B14)))</formula>
    </cfRule>
    <cfRule type="containsText" dxfId="186" priority="10" operator="containsText" text="aula">
      <formula>NOT(ISERROR(SEARCH("aula",B14)))</formula>
    </cfRule>
  </conditionalFormatting>
  <conditionalFormatting sqref="J14 B14:H50">
    <cfRule type="containsText" dxfId="185" priority="6" operator="containsText" text="estudar">
      <formula>NOT(ISERROR(SEARCH("estudar",B14)))</formula>
    </cfRule>
  </conditionalFormatting>
  <conditionalFormatting sqref="B15:H50">
    <cfRule type="containsText" dxfId="184" priority="5" operator="containsText" text="revisao">
      <formula>NOT(ISERROR(SEARCH("revisao",B15)))</formula>
    </cfRule>
  </conditionalFormatting>
  <conditionalFormatting sqref="B14:H50">
    <cfRule type="containsText" dxfId="183" priority="2" operator="containsText" text="simulado">
      <formula>NOT(ISERROR(SEARCH("simulado",B14)))</formula>
    </cfRule>
    <cfRule type="containsText" dxfId="182" priority="3" operator="containsText" text="revisao">
      <formula>NOT(ISERROR(SEARCH("revisao",B14)))</formula>
    </cfRule>
    <cfRule type="containsText" dxfId="181" priority="4" operator="containsText" text="estudar">
      <formula>NOT(ISERROR(SEARCH("estudar",B14)))</formula>
    </cfRule>
  </conditionalFormatting>
  <conditionalFormatting sqref="J23:L27">
    <cfRule type="containsText" dxfId="180" priority="1" operator="containsText" text="Atenção Vá Devagar">
      <formula>NOT(ISERROR(SEARCH("Atenção Vá Devagar",J23)))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U53"/>
  <sheetViews>
    <sheetView showGridLines="0" showRowColHeaders="0" zoomScaleNormal="100" workbookViewId="0">
      <pane ySplit="4" topLeftCell="A5" activePane="bottomLeft" state="frozen"/>
      <selection activeCell="A5" sqref="A5"/>
      <selection pane="bottomLeft"/>
    </sheetView>
  </sheetViews>
  <sheetFormatPr defaultRowHeight="15" x14ac:dyDescent="0.25"/>
  <cols>
    <col min="1" max="1" width="9.28515625" customWidth="1"/>
  </cols>
  <sheetData>
    <row r="1" spans="1:21" s="42" customFormat="1" x14ac:dyDescent="0.25"/>
    <row r="2" spans="1:21" s="42" customFormat="1" x14ac:dyDescent="0.25"/>
    <row r="3" spans="1:21" s="42" customFormat="1" x14ac:dyDescent="0.25"/>
    <row r="4" spans="1:21" s="42" customFormat="1" x14ac:dyDescent="0.25"/>
    <row r="5" spans="1:21" s="66" customFormat="1" ht="3.95" customHeight="1" x14ac:dyDescent="0.25"/>
    <row r="7" spans="1:21" s="106" customFormat="1" ht="18.75" x14ac:dyDescent="0.3">
      <c r="A7" s="222" t="s">
        <v>503</v>
      </c>
      <c r="B7" s="222"/>
      <c r="C7" s="212"/>
      <c r="D7" s="222" t="s">
        <v>39</v>
      </c>
      <c r="E7" s="222"/>
      <c r="F7" s="105"/>
      <c r="G7" s="222" t="s">
        <v>1</v>
      </c>
      <c r="H7" s="222"/>
      <c r="I7" s="105"/>
      <c r="J7" s="222" t="s">
        <v>0</v>
      </c>
      <c r="K7" s="222"/>
      <c r="L7" s="105"/>
      <c r="M7" s="222" t="s">
        <v>477</v>
      </c>
      <c r="N7" s="222"/>
    </row>
    <row r="8" spans="1:21" s="113" customFormat="1" ht="15.75" customHeight="1" thickBot="1" x14ac:dyDescent="0.3">
      <c r="A8" s="223"/>
      <c r="B8" s="223"/>
      <c r="C8" s="213"/>
      <c r="D8" s="223"/>
      <c r="E8" s="223"/>
      <c r="G8" s="223"/>
      <c r="H8" s="223"/>
      <c r="J8" s="223"/>
      <c r="K8" s="223"/>
      <c r="M8" s="223"/>
      <c r="N8" s="223"/>
    </row>
    <row r="9" spans="1:21" s="109" customFormat="1" ht="16.5" customHeight="1" x14ac:dyDescent="0.3">
      <c r="A9" s="218">
        <f>IF(Começo!D9="","",INDEX(Começo!A:J,9,4))</f>
        <v>45334</v>
      </c>
      <c r="B9" s="218"/>
      <c r="C9" s="107"/>
      <c r="D9" s="220" t="str">
        <f>IF(Começo!D10="","",INDEX(Começo!A:K,10,4))</f>
        <v>Perito Criminal</v>
      </c>
      <c r="E9" s="220"/>
      <c r="F9" s="108"/>
      <c r="G9" s="220" t="str">
        <f>INDEX(Começo!A:K,11,4)</f>
        <v>Médio</v>
      </c>
      <c r="H9" s="220"/>
      <c r="I9" s="108"/>
      <c r="J9" s="218">
        <f>IFERROR(IF(Começo!G9="","",(INDEX(Começo!A:P,9,7))),"")</f>
        <v>45605</v>
      </c>
      <c r="K9" s="218"/>
      <c r="L9" s="108"/>
      <c r="M9" s="220">
        <f>INDEX(Começo!A:P,9,10)</f>
        <v>271</v>
      </c>
      <c r="N9" s="220"/>
    </row>
    <row r="10" spans="1:21" s="112" customFormat="1" ht="16.5" customHeight="1" thickBot="1" x14ac:dyDescent="0.35">
      <c r="A10" s="219"/>
      <c r="B10" s="219"/>
      <c r="C10" s="110"/>
      <c r="D10" s="221"/>
      <c r="E10" s="221"/>
      <c r="F10" s="111"/>
      <c r="G10" s="221"/>
      <c r="H10" s="221"/>
      <c r="I10" s="111"/>
      <c r="J10" s="219"/>
      <c r="K10" s="219"/>
      <c r="L10" s="111"/>
      <c r="M10" s="221"/>
      <c r="N10" s="221"/>
    </row>
    <row r="11" spans="1:21" ht="16.5" customHeight="1" x14ac:dyDescent="0.3">
      <c r="A11" s="114"/>
      <c r="B11" s="114"/>
      <c r="C11" s="115"/>
      <c r="D11" s="46"/>
      <c r="E11" s="46"/>
      <c r="F11" s="46"/>
      <c r="G11" s="46"/>
      <c r="H11" s="46"/>
      <c r="I11" s="46"/>
      <c r="J11" s="114"/>
      <c r="K11" s="114"/>
      <c r="L11" s="46"/>
      <c r="M11" s="46"/>
      <c r="N11" s="46"/>
    </row>
    <row r="12" spans="1:21" ht="15.75" thickBot="1" x14ac:dyDescent="0.3">
      <c r="A12" s="116"/>
      <c r="B12" s="116"/>
      <c r="C12" s="116"/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</row>
    <row r="13" spans="1:21" ht="27.75" thickTop="1" thickBot="1" x14ac:dyDescent="0.45">
      <c r="A13" s="116"/>
      <c r="B13" s="116"/>
      <c r="C13" s="116"/>
      <c r="D13" s="116"/>
      <c r="E13" s="116"/>
      <c r="F13" s="116"/>
      <c r="G13" s="116"/>
      <c r="H13" s="116"/>
      <c r="I13" s="214" t="s">
        <v>504</v>
      </c>
      <c r="J13" s="215"/>
      <c r="K13" s="215"/>
      <c r="L13" s="216"/>
      <c r="M13" s="116"/>
      <c r="N13" s="116"/>
      <c r="O13" s="116"/>
      <c r="P13" s="116"/>
      <c r="Q13" s="116"/>
      <c r="R13" s="116"/>
      <c r="S13" s="116"/>
      <c r="T13" s="116"/>
      <c r="U13" s="116"/>
    </row>
    <row r="14" spans="1:21" ht="15.75" thickTop="1" x14ac:dyDescent="0.25">
      <c r="A14" s="116"/>
      <c r="B14" s="116"/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</row>
    <row r="15" spans="1:21" x14ac:dyDescent="0.25">
      <c r="A15" s="116"/>
      <c r="B15" s="116"/>
      <c r="C15" s="116"/>
      <c r="D15" s="116"/>
      <c r="E15" s="116"/>
      <c r="F15" s="116"/>
      <c r="G15" s="116"/>
      <c r="H15" s="116"/>
      <c r="M15" s="116"/>
      <c r="N15" s="116"/>
      <c r="O15" s="116"/>
      <c r="P15" s="116"/>
      <c r="Q15" s="116"/>
      <c r="R15" s="116"/>
      <c r="S15" s="116"/>
      <c r="T15" s="116"/>
      <c r="U15" s="116"/>
    </row>
    <row r="16" spans="1:21" x14ac:dyDescent="0.25">
      <c r="A16" s="116"/>
      <c r="B16" s="116"/>
      <c r="C16" s="116"/>
      <c r="D16" s="116"/>
      <c r="E16" s="116"/>
      <c r="F16" s="116"/>
      <c r="G16" s="116"/>
      <c r="H16" s="116"/>
      <c r="M16" s="116"/>
      <c r="N16" s="116"/>
      <c r="O16" s="116"/>
      <c r="P16" s="116"/>
      <c r="Q16" s="116"/>
      <c r="R16" s="116"/>
      <c r="S16" s="116"/>
      <c r="T16" s="116"/>
      <c r="U16" s="116"/>
    </row>
    <row r="17" spans="1:21" x14ac:dyDescent="0.25">
      <c r="A17" s="116"/>
      <c r="B17" s="116"/>
      <c r="C17" s="116"/>
      <c r="D17" s="116"/>
      <c r="E17" s="116"/>
      <c r="F17" s="116"/>
      <c r="G17" s="116"/>
      <c r="H17" s="116"/>
      <c r="M17" s="116"/>
      <c r="N17" s="116"/>
      <c r="O17" s="116"/>
      <c r="P17" s="116"/>
      <c r="Q17" s="116"/>
      <c r="R17" s="116"/>
      <c r="S17" s="116"/>
      <c r="T17" s="116"/>
      <c r="U17" s="116"/>
    </row>
    <row r="18" spans="1:21" x14ac:dyDescent="0.25">
      <c r="A18" s="116"/>
      <c r="B18" s="116"/>
      <c r="C18" s="116"/>
      <c r="D18" s="116"/>
      <c r="E18" s="116"/>
      <c r="F18" s="116"/>
      <c r="G18" s="116"/>
      <c r="H18" s="116"/>
      <c r="M18" s="116"/>
      <c r="N18" s="116"/>
      <c r="O18" s="116"/>
      <c r="P18" s="116"/>
      <c r="Q18" s="116"/>
      <c r="R18" s="116"/>
      <c r="S18" s="116"/>
      <c r="T18" s="116"/>
      <c r="U18" s="116"/>
    </row>
    <row r="19" spans="1:21" x14ac:dyDescent="0.25">
      <c r="A19" s="116"/>
      <c r="B19" s="116"/>
      <c r="C19" s="116"/>
      <c r="D19" s="116"/>
      <c r="E19" s="116"/>
      <c r="F19" s="116"/>
      <c r="G19" s="116"/>
      <c r="H19" s="116"/>
      <c r="M19" s="116"/>
      <c r="N19" s="116"/>
      <c r="O19" s="116"/>
      <c r="P19" s="116"/>
      <c r="Q19" s="116"/>
      <c r="R19" s="116"/>
      <c r="S19" s="116"/>
      <c r="T19" s="116"/>
      <c r="U19" s="116"/>
    </row>
    <row r="20" spans="1:21" x14ac:dyDescent="0.25">
      <c r="A20" s="116"/>
      <c r="B20" s="116"/>
      <c r="C20" s="116"/>
      <c r="D20" s="116"/>
      <c r="E20" s="116"/>
      <c r="F20" s="116"/>
      <c r="G20" s="116"/>
      <c r="H20" s="116"/>
      <c r="M20" s="116"/>
      <c r="N20" s="116"/>
      <c r="O20" s="116"/>
      <c r="P20" s="116"/>
      <c r="Q20" s="116"/>
      <c r="R20" s="116"/>
      <c r="S20" s="116"/>
      <c r="T20" s="116"/>
      <c r="U20" s="116"/>
    </row>
    <row r="21" spans="1:21" x14ac:dyDescent="0.25">
      <c r="A21" s="116"/>
      <c r="B21" s="116"/>
      <c r="C21" s="116"/>
      <c r="D21" s="116"/>
      <c r="E21" s="116"/>
      <c r="F21" s="116"/>
      <c r="G21" s="116"/>
      <c r="H21" s="116"/>
      <c r="M21" s="116"/>
      <c r="N21" s="116"/>
      <c r="O21" s="116"/>
      <c r="P21" s="116"/>
      <c r="Q21" s="116"/>
      <c r="R21" s="116"/>
      <c r="S21" s="116"/>
      <c r="T21" s="116"/>
      <c r="U21" s="116"/>
    </row>
    <row r="22" spans="1:21" x14ac:dyDescent="0.25">
      <c r="A22" s="116"/>
      <c r="B22" s="116"/>
      <c r="C22" s="116"/>
      <c r="D22" s="116"/>
      <c r="E22" s="116"/>
      <c r="F22" s="116"/>
      <c r="G22" s="116"/>
      <c r="H22" s="116"/>
      <c r="M22" s="116"/>
      <c r="N22" s="116"/>
      <c r="O22" s="116"/>
      <c r="P22" s="116"/>
      <c r="Q22" s="116"/>
      <c r="R22" s="116"/>
      <c r="S22" s="116"/>
      <c r="T22" s="116"/>
      <c r="U22" s="116"/>
    </row>
    <row r="23" spans="1:21" x14ac:dyDescent="0.25">
      <c r="A23" s="116"/>
      <c r="B23" s="116"/>
      <c r="C23" s="116"/>
      <c r="D23" s="116"/>
      <c r="E23" s="116"/>
      <c r="F23" s="116"/>
      <c r="G23" s="116"/>
      <c r="H23" s="116"/>
      <c r="M23" s="116"/>
      <c r="N23" s="116"/>
      <c r="O23" s="116"/>
      <c r="P23" s="116"/>
      <c r="Q23" s="116"/>
      <c r="R23" s="116"/>
      <c r="S23" s="116"/>
      <c r="T23" s="116"/>
      <c r="U23" s="116"/>
    </row>
    <row r="24" spans="1:21" x14ac:dyDescent="0.25">
      <c r="A24" s="116"/>
      <c r="B24" s="116"/>
      <c r="C24" s="116"/>
      <c r="D24" s="116"/>
      <c r="E24" s="116"/>
      <c r="F24" s="116"/>
      <c r="G24" s="116"/>
      <c r="H24" s="116"/>
      <c r="M24" s="116"/>
      <c r="N24" s="116"/>
      <c r="O24" s="116"/>
      <c r="P24" s="116"/>
      <c r="Q24" s="116"/>
      <c r="R24" s="116"/>
      <c r="S24" s="116"/>
      <c r="T24" s="116"/>
      <c r="U24" s="116"/>
    </row>
    <row r="25" spans="1:21" x14ac:dyDescent="0.25">
      <c r="A25" s="116"/>
      <c r="B25" s="116"/>
      <c r="C25" s="116"/>
      <c r="D25" s="116"/>
      <c r="E25" s="116"/>
      <c r="F25" s="116"/>
      <c r="G25" s="116"/>
      <c r="H25" s="116"/>
      <c r="M25" s="116"/>
      <c r="N25" s="116"/>
      <c r="O25" s="116"/>
      <c r="P25" s="116"/>
      <c r="Q25" s="116"/>
      <c r="R25" s="116"/>
      <c r="S25" s="116"/>
      <c r="T25" s="116"/>
      <c r="U25" s="116"/>
    </row>
    <row r="26" spans="1:21" x14ac:dyDescent="0.25">
      <c r="A26" s="116"/>
      <c r="B26" s="116"/>
      <c r="C26" s="116"/>
      <c r="D26" s="116"/>
      <c r="E26" s="116"/>
      <c r="F26" s="116"/>
      <c r="G26" s="116"/>
      <c r="H26" s="116"/>
      <c r="M26" s="116"/>
      <c r="N26" s="116"/>
      <c r="O26" s="116"/>
      <c r="P26" s="116"/>
      <c r="Q26" s="116"/>
      <c r="R26" s="116"/>
      <c r="S26" s="116"/>
      <c r="T26" s="116"/>
      <c r="U26" s="116"/>
    </row>
    <row r="27" spans="1:21" x14ac:dyDescent="0.25">
      <c r="A27" s="116"/>
      <c r="B27" s="116"/>
      <c r="C27" s="116"/>
      <c r="D27" s="116"/>
      <c r="E27" s="116"/>
      <c r="F27" s="116"/>
      <c r="G27" s="116"/>
      <c r="H27" s="116"/>
      <c r="M27" s="116"/>
      <c r="N27" s="116"/>
      <c r="O27" s="116"/>
      <c r="P27" s="116"/>
      <c r="Q27" s="116"/>
      <c r="R27" s="116"/>
      <c r="S27" s="116"/>
      <c r="T27" s="116"/>
      <c r="U27" s="116"/>
    </row>
    <row r="28" spans="1:21" x14ac:dyDescent="0.25">
      <c r="A28" s="116"/>
      <c r="B28" s="116"/>
      <c r="C28" s="116"/>
      <c r="D28" s="116"/>
      <c r="E28" s="116"/>
      <c r="F28" s="116"/>
      <c r="G28" s="116"/>
      <c r="H28" s="116"/>
      <c r="M28" s="116"/>
      <c r="N28" s="116"/>
      <c r="O28" s="116"/>
      <c r="P28" s="116"/>
      <c r="Q28" s="116"/>
      <c r="R28" s="116"/>
      <c r="S28" s="116"/>
      <c r="T28" s="116"/>
      <c r="U28" s="116"/>
    </row>
    <row r="29" spans="1:21" x14ac:dyDescent="0.25">
      <c r="A29" s="116"/>
      <c r="B29" s="116"/>
      <c r="C29" s="116"/>
      <c r="D29" s="116"/>
      <c r="E29" s="116"/>
      <c r="F29" s="116"/>
      <c r="G29" s="116"/>
      <c r="H29" s="116"/>
      <c r="M29" s="116"/>
      <c r="N29" s="116"/>
      <c r="O29" s="116"/>
      <c r="P29" s="116"/>
      <c r="Q29" s="116"/>
      <c r="R29" s="116"/>
      <c r="S29" s="116"/>
      <c r="T29" s="116"/>
      <c r="U29" s="116"/>
    </row>
    <row r="30" spans="1:21" x14ac:dyDescent="0.25">
      <c r="A30" s="116"/>
      <c r="B30" s="116"/>
      <c r="C30" s="116"/>
      <c r="D30" s="116"/>
      <c r="E30" s="116"/>
      <c r="F30" s="116"/>
      <c r="G30" s="116"/>
      <c r="H30" s="116"/>
      <c r="M30" s="116"/>
      <c r="N30" s="116"/>
      <c r="O30" s="116"/>
      <c r="P30" s="116"/>
      <c r="Q30" s="116"/>
      <c r="R30" s="116"/>
      <c r="S30" s="116"/>
      <c r="T30" s="116"/>
      <c r="U30" s="116"/>
    </row>
    <row r="31" spans="1:21" x14ac:dyDescent="0.25">
      <c r="A31" s="116"/>
      <c r="B31" s="116"/>
      <c r="C31" s="116"/>
      <c r="D31" s="116"/>
      <c r="E31" s="116"/>
      <c r="F31" s="116"/>
      <c r="G31" s="116"/>
      <c r="H31" s="116"/>
      <c r="M31" s="116"/>
      <c r="N31" s="116"/>
      <c r="O31" s="116"/>
      <c r="P31" s="116"/>
      <c r="Q31" s="116"/>
      <c r="R31" s="116"/>
      <c r="S31" s="116"/>
      <c r="T31" s="116"/>
      <c r="U31" s="116"/>
    </row>
    <row r="32" spans="1:21" x14ac:dyDescent="0.25">
      <c r="A32" s="116"/>
      <c r="B32" s="116"/>
      <c r="C32" s="116"/>
      <c r="D32" s="116"/>
      <c r="E32" s="116"/>
      <c r="F32" s="116"/>
      <c r="G32" s="116"/>
      <c r="H32" s="116"/>
      <c r="M32" s="116"/>
      <c r="N32" s="116"/>
      <c r="O32" s="116"/>
      <c r="P32" s="116"/>
      <c r="Q32" s="116"/>
      <c r="R32" s="116"/>
      <c r="S32" s="116"/>
      <c r="T32" s="116"/>
      <c r="U32" s="116"/>
    </row>
    <row r="33" spans="1:21" x14ac:dyDescent="0.25">
      <c r="A33" s="116"/>
      <c r="B33" s="116"/>
      <c r="C33" s="116"/>
      <c r="D33" s="116"/>
      <c r="E33" s="116"/>
      <c r="F33" s="116"/>
      <c r="G33" s="116"/>
      <c r="H33" s="116"/>
      <c r="M33" s="116"/>
      <c r="N33" s="116"/>
      <c r="O33" s="116"/>
      <c r="P33" s="116"/>
      <c r="Q33" s="116"/>
      <c r="R33" s="116"/>
      <c r="S33" s="116"/>
      <c r="T33" s="116"/>
      <c r="U33" s="116"/>
    </row>
    <row r="34" spans="1:21" x14ac:dyDescent="0.25">
      <c r="A34" s="116"/>
      <c r="B34" s="116"/>
      <c r="C34" s="116"/>
      <c r="D34" s="116"/>
      <c r="E34" s="116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16"/>
      <c r="R34" s="116"/>
      <c r="S34" s="116"/>
      <c r="T34" s="116"/>
      <c r="U34" s="116"/>
    </row>
    <row r="35" spans="1:21" x14ac:dyDescent="0.25">
      <c r="A35" s="73"/>
      <c r="B35" s="73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</row>
    <row r="36" spans="1:21" x14ac:dyDescent="0.25">
      <c r="A36" s="73"/>
      <c r="B36" s="73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</row>
    <row r="37" spans="1:21" x14ac:dyDescent="0.25">
      <c r="A37" s="73"/>
      <c r="B37" s="73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</row>
    <row r="38" spans="1:21" x14ac:dyDescent="0.25">
      <c r="A38" s="73"/>
      <c r="B38" s="73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</row>
    <row r="39" spans="1:21" x14ac:dyDescent="0.25">
      <c r="A39" s="73"/>
      <c r="B39" s="73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</row>
    <row r="40" spans="1:21" x14ac:dyDescent="0.25">
      <c r="A40" s="73"/>
      <c r="B40" s="73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</row>
    <row r="41" spans="1:21" x14ac:dyDescent="0.25">
      <c r="A41" s="73"/>
      <c r="B41" s="73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</row>
    <row r="42" spans="1:21" x14ac:dyDescent="0.25">
      <c r="A42" s="73"/>
      <c r="B42" s="73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</row>
    <row r="43" spans="1:21" x14ac:dyDescent="0.25">
      <c r="A43" s="73"/>
      <c r="B43" s="73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</row>
    <row r="44" spans="1:21" x14ac:dyDescent="0.25">
      <c r="A44" s="73"/>
      <c r="B44" s="7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</row>
    <row r="45" spans="1:21" x14ac:dyDescent="0.25">
      <c r="A45" s="73"/>
      <c r="B45" s="73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</row>
    <row r="46" spans="1:21" x14ac:dyDescent="0.25">
      <c r="A46" s="73"/>
      <c r="B46" s="73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</row>
    <row r="47" spans="1:21" x14ac:dyDescent="0.25">
      <c r="A47" s="73"/>
      <c r="B47" s="73"/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</row>
    <row r="48" spans="1:21" x14ac:dyDescent="0.25">
      <c r="A48" s="73"/>
      <c r="B48" s="73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</row>
    <row r="49" spans="1:21" x14ac:dyDescent="0.25">
      <c r="A49" s="73"/>
      <c r="B49" s="73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</row>
    <row r="50" spans="1:21" x14ac:dyDescent="0.25">
      <c r="A50" s="73"/>
      <c r="B50" s="73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</row>
    <row r="53" spans="1:21" x14ac:dyDescent="0.25">
      <c r="A53" s="217"/>
      <c r="B53" s="217"/>
      <c r="C53" s="217"/>
      <c r="D53" s="217"/>
      <c r="E53" s="217"/>
      <c r="F53" s="217"/>
      <c r="G53" s="217"/>
      <c r="H53" s="217"/>
      <c r="I53" s="217"/>
      <c r="J53" s="217"/>
      <c r="K53" s="217"/>
      <c r="L53" s="217"/>
      <c r="M53" s="217"/>
      <c r="N53" s="217"/>
      <c r="O53" s="217"/>
      <c r="P53" s="217"/>
      <c r="Q53" s="217"/>
      <c r="R53" s="217"/>
      <c r="S53" s="217"/>
      <c r="T53" s="217"/>
      <c r="U53" s="217"/>
    </row>
  </sheetData>
  <sheetProtection algorithmName="SHA-512" hashValue="0gqkmtTxSF7PZx/Mnk1969qxZJe+5wrtlVmRmV3sb3Pv/xk7MicdkE0MNpuPkhnxBI+fp/pIC5WIHj/Q3kISoQ==" saltValue="DKT1Dh2UQKrp8FLiV5pRpQ==" spinCount="100000" sheet="1" objects="1" scenarios="1"/>
  <mergeCells count="13">
    <mergeCell ref="C7:C8"/>
    <mergeCell ref="I13:L13"/>
    <mergeCell ref="A53:U53"/>
    <mergeCell ref="A9:B10"/>
    <mergeCell ref="D9:E10"/>
    <mergeCell ref="G9:H10"/>
    <mergeCell ref="J9:K10"/>
    <mergeCell ref="M9:N10"/>
    <mergeCell ref="A7:B8"/>
    <mergeCell ref="D7:E8"/>
    <mergeCell ref="G7:H8"/>
    <mergeCell ref="J7:K8"/>
    <mergeCell ref="M7:N8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O31"/>
  <sheetViews>
    <sheetView showGridLines="0" showRowColHeaders="0" workbookViewId="0">
      <selection activeCell="L7" sqref="L7"/>
    </sheetView>
  </sheetViews>
  <sheetFormatPr defaultRowHeight="15" x14ac:dyDescent="0.25"/>
  <cols>
    <col min="1" max="1" width="3.140625" style="78" customWidth="1"/>
    <col min="2" max="2" width="42" style="78" customWidth="1"/>
    <col min="3" max="4" width="0.85546875" style="78" customWidth="1"/>
    <col min="5" max="5" width="1.5703125" style="78" customWidth="1"/>
    <col min="6" max="6" width="14.7109375" style="78" customWidth="1"/>
    <col min="7" max="7" width="14.7109375" style="78" hidden="1" customWidth="1"/>
    <col min="8" max="8" width="14.7109375" style="78" customWidth="1"/>
    <col min="9" max="9" width="14.7109375" style="78" hidden="1" customWidth="1"/>
    <col min="10" max="10" width="14.7109375" style="78" customWidth="1"/>
    <col min="11" max="11" width="14.7109375" style="78" hidden="1" customWidth="1"/>
    <col min="12" max="16" width="14.7109375" style="78" customWidth="1"/>
    <col min="17" max="16384" width="9.140625" style="78"/>
  </cols>
  <sheetData>
    <row r="1" spans="1:12" ht="8.25" customHeight="1" thickBot="1" x14ac:dyDescent="0.3">
      <c r="A1" s="73"/>
      <c r="B1" s="234" t="str">
        <f>VLOOKUP(A4,Começo!A:C,3,0)</f>
        <v>Português</v>
      </c>
      <c r="C1" s="73"/>
      <c r="D1" s="73"/>
    </row>
    <row r="2" spans="1:12" ht="15.75" customHeight="1" thickBot="1" x14ac:dyDescent="0.3">
      <c r="A2" s="73"/>
      <c r="B2" s="234"/>
      <c r="C2" s="73"/>
      <c r="D2" s="73"/>
      <c r="F2" s="231" t="s">
        <v>488</v>
      </c>
      <c r="G2" s="85"/>
      <c r="H2" s="237" t="s">
        <v>489</v>
      </c>
      <c r="I2" s="86"/>
      <c r="J2" s="237" t="s">
        <v>85</v>
      </c>
      <c r="K2" s="86"/>
      <c r="L2" s="231" t="s">
        <v>490</v>
      </c>
    </row>
    <row r="3" spans="1:12" ht="15.75" customHeight="1" thickBot="1" x14ac:dyDescent="0.3">
      <c r="A3" s="73"/>
      <c r="B3" s="234"/>
      <c r="C3" s="73"/>
      <c r="D3" s="73"/>
      <c r="F3" s="231"/>
      <c r="G3" s="85"/>
      <c r="H3" s="237"/>
      <c r="I3" s="86"/>
      <c r="J3" s="237"/>
      <c r="K3" s="86"/>
      <c r="L3" s="231"/>
    </row>
    <row r="4" spans="1:12" ht="15.75" customHeight="1" thickBot="1" x14ac:dyDescent="0.3">
      <c r="A4" s="230">
        <v>1</v>
      </c>
      <c r="B4" s="234"/>
      <c r="C4" s="74"/>
      <c r="D4" s="74"/>
      <c r="E4" s="233">
        <v>1</v>
      </c>
      <c r="F4" s="232">
        <f>INDEX(Conteudo!A:R,13,5)</f>
        <v>45363</v>
      </c>
      <c r="G4" s="238">
        <v>1</v>
      </c>
      <c r="H4" s="239">
        <f>INDEX(Conteudo!A:R,13,6)</f>
        <v>30</v>
      </c>
      <c r="I4" s="236">
        <v>1</v>
      </c>
      <c r="J4" s="239">
        <f>INDEX(Conteudo!A:R,13,7)</f>
        <v>23</v>
      </c>
      <c r="K4" s="236">
        <v>1</v>
      </c>
      <c r="L4" s="235">
        <f>INDEX(Conteudo!A:R,13,8)</f>
        <v>0.76666666666666672</v>
      </c>
    </row>
    <row r="5" spans="1:12" ht="15.75" customHeight="1" thickBot="1" x14ac:dyDescent="0.3">
      <c r="A5" s="230"/>
      <c r="B5" s="234"/>
      <c r="C5" s="74"/>
      <c r="D5" s="74"/>
      <c r="E5" s="233"/>
      <c r="F5" s="232"/>
      <c r="G5" s="238"/>
      <c r="H5" s="239"/>
      <c r="I5" s="236"/>
      <c r="J5" s="239"/>
      <c r="K5" s="236"/>
      <c r="L5" s="235"/>
    </row>
    <row r="6" spans="1:12" ht="30" customHeight="1" thickBot="1" x14ac:dyDescent="0.3">
      <c r="A6" s="18" t="s">
        <v>89</v>
      </c>
      <c r="B6" s="169"/>
      <c r="C6"/>
      <c r="D6" s="73"/>
    </row>
    <row r="7" spans="1:12" ht="30" customHeight="1" thickBot="1" x14ac:dyDescent="0.3">
      <c r="A7" s="18" t="s">
        <v>89</v>
      </c>
      <c r="B7" s="170"/>
      <c r="C7" s="61"/>
      <c r="D7" s="73"/>
      <c r="F7" s="80" t="s">
        <v>79</v>
      </c>
      <c r="G7" s="79"/>
      <c r="H7" s="81">
        <f>IF(Começo!D9="","",INDEX(Começo!A:E,9,4))</f>
        <v>45334</v>
      </c>
      <c r="I7" s="75"/>
      <c r="L7" s="98" t="s">
        <v>493</v>
      </c>
    </row>
    <row r="8" spans="1:12" ht="30" customHeight="1" thickBot="1" x14ac:dyDescent="0.3">
      <c r="A8" s="18" t="s">
        <v>89</v>
      </c>
      <c r="B8" s="170"/>
      <c r="C8" s="61"/>
      <c r="D8" s="73"/>
      <c r="F8" s="80" t="s">
        <v>39</v>
      </c>
      <c r="G8" s="79"/>
      <c r="H8" s="87" t="str">
        <f>IF(Começo!D10="","",INDEX(Começo!A:E,10,4))</f>
        <v>Perito Criminal</v>
      </c>
      <c r="I8" s="76"/>
    </row>
    <row r="9" spans="1:12" ht="30" customHeight="1" thickBot="1" x14ac:dyDescent="0.3">
      <c r="A9" s="18" t="s">
        <v>89</v>
      </c>
      <c r="B9" s="170"/>
      <c r="C9"/>
      <c r="D9" s="73"/>
      <c r="F9" s="80" t="s">
        <v>1</v>
      </c>
      <c r="G9" s="79"/>
      <c r="H9" s="82" t="str">
        <f>INDEX(Começo!A:G,11,4)</f>
        <v>Médio</v>
      </c>
      <c r="I9" s="77"/>
    </row>
    <row r="10" spans="1:12" ht="30" customHeight="1" thickBot="1" x14ac:dyDescent="0.3">
      <c r="A10" s="18" t="s">
        <v>89</v>
      </c>
      <c r="B10" s="170"/>
      <c r="C10"/>
      <c r="D10" s="73"/>
      <c r="I10"/>
    </row>
    <row r="11" spans="1:12" ht="30" customHeight="1" thickBot="1" x14ac:dyDescent="0.3">
      <c r="A11" s="18" t="s">
        <v>89</v>
      </c>
      <c r="B11" s="170"/>
      <c r="C11"/>
      <c r="D11" s="73"/>
      <c r="F11" s="83" t="s">
        <v>491</v>
      </c>
      <c r="I11"/>
      <c r="J11" s="224" t="s">
        <v>478</v>
      </c>
      <c r="K11" s="225"/>
      <c r="L11" s="226"/>
    </row>
    <row r="12" spans="1:12" ht="30" customHeight="1" thickBot="1" x14ac:dyDescent="0.3">
      <c r="A12" s="18" t="s">
        <v>89</v>
      </c>
      <c r="B12" s="170"/>
      <c r="C12"/>
      <c r="D12" s="73"/>
      <c r="F12" s="84">
        <f>INDEX(Começo!A:J,9,10)</f>
        <v>271</v>
      </c>
      <c r="I12"/>
      <c r="J12" s="227" t="str">
        <f>INDEX(Começo!A:K,14,11)</f>
        <v>Razoavel</v>
      </c>
      <c r="K12" s="228"/>
      <c r="L12" s="229"/>
    </row>
    <row r="13" spans="1:12" ht="30" customHeight="1" thickBot="1" x14ac:dyDescent="0.3">
      <c r="A13" s="18" t="s">
        <v>89</v>
      </c>
      <c r="B13" s="170"/>
      <c r="C13"/>
      <c r="D13" s="73"/>
      <c r="I13"/>
    </row>
    <row r="14" spans="1:12" ht="30" customHeight="1" thickBot="1" x14ac:dyDescent="0.3">
      <c r="A14" s="18" t="s">
        <v>89</v>
      </c>
      <c r="B14" s="170"/>
      <c r="C14"/>
      <c r="D14" s="73"/>
      <c r="F14" s="92" t="s">
        <v>482</v>
      </c>
      <c r="H14" s="94" t="s">
        <v>86</v>
      </c>
      <c r="I14"/>
      <c r="J14" s="95" t="s">
        <v>87</v>
      </c>
    </row>
    <row r="15" spans="1:12" ht="30" customHeight="1" thickBot="1" x14ac:dyDescent="0.3">
      <c r="A15" s="18" t="s">
        <v>89</v>
      </c>
      <c r="B15" s="170"/>
      <c r="C15"/>
      <c r="D15" s="73"/>
      <c r="H15" s="93"/>
      <c r="I15"/>
      <c r="J15" s="95"/>
    </row>
    <row r="16" spans="1:12" ht="30" customHeight="1" thickBot="1" x14ac:dyDescent="0.3">
      <c r="A16" s="18" t="s">
        <v>89</v>
      </c>
      <c r="B16" s="170"/>
      <c r="C16"/>
      <c r="D16" s="73"/>
      <c r="I16"/>
    </row>
    <row r="17" spans="1:15" ht="30" customHeight="1" thickBot="1" x14ac:dyDescent="0.3">
      <c r="A17" s="18" t="s">
        <v>89</v>
      </c>
      <c r="B17" s="170"/>
      <c r="C17"/>
      <c r="D17" s="73"/>
      <c r="F17" s="89">
        <v>1</v>
      </c>
      <c r="G17" s="89"/>
      <c r="H17" s="89">
        <v>7</v>
      </c>
      <c r="I17" s="89">
        <v>15</v>
      </c>
      <c r="J17" s="89">
        <v>30</v>
      </c>
      <c r="K17" s="89">
        <v>45</v>
      </c>
      <c r="L17" s="89">
        <v>60</v>
      </c>
      <c r="M17" s="89">
        <v>60</v>
      </c>
      <c r="N17" s="89">
        <v>75</v>
      </c>
      <c r="O17" s="89">
        <v>90</v>
      </c>
    </row>
    <row r="18" spans="1:15" ht="30" customHeight="1" thickBot="1" x14ac:dyDescent="0.3">
      <c r="A18" s="18" t="s">
        <v>89</v>
      </c>
      <c r="B18" s="170"/>
      <c r="C18"/>
      <c r="D18" s="73"/>
      <c r="F18" s="88" t="s">
        <v>484</v>
      </c>
      <c r="G18" s="88"/>
      <c r="H18" s="88" t="s">
        <v>485</v>
      </c>
      <c r="I18" s="88" t="s">
        <v>486</v>
      </c>
      <c r="J18" s="88" t="s">
        <v>100</v>
      </c>
      <c r="K18" s="88" t="s">
        <v>487</v>
      </c>
      <c r="L18" s="88" t="s">
        <v>137</v>
      </c>
      <c r="M18" s="88" t="s">
        <v>137</v>
      </c>
      <c r="N18" s="88" t="s">
        <v>138</v>
      </c>
      <c r="O18" s="88" t="s">
        <v>140</v>
      </c>
    </row>
    <row r="19" spans="1:15" ht="30" customHeight="1" thickBot="1" x14ac:dyDescent="0.3">
      <c r="A19" s="18" t="s">
        <v>89</v>
      </c>
      <c r="B19" s="170"/>
      <c r="C19"/>
      <c r="D19" s="73"/>
      <c r="F19" s="89" t="s">
        <v>95</v>
      </c>
      <c r="G19" s="89"/>
      <c r="H19" s="89" t="s">
        <v>96</v>
      </c>
      <c r="I19" s="89" t="s">
        <v>97</v>
      </c>
      <c r="J19" s="89" t="s">
        <v>98</v>
      </c>
      <c r="K19" s="89" t="s">
        <v>136</v>
      </c>
      <c r="L19" s="89" t="s">
        <v>135</v>
      </c>
      <c r="M19" s="89" t="s">
        <v>135</v>
      </c>
      <c r="N19" s="89" t="s">
        <v>139</v>
      </c>
      <c r="O19" s="89" t="s">
        <v>141</v>
      </c>
    </row>
    <row r="20" spans="1:15" ht="30" customHeight="1" thickBot="1" x14ac:dyDescent="0.3">
      <c r="A20" s="18" t="s">
        <v>89</v>
      </c>
      <c r="B20" s="170"/>
      <c r="C20"/>
      <c r="D20" s="73"/>
      <c r="F20" s="90">
        <f>IF(Conteudo!$E$13="","",SUM(INDEX(Conteudo!A:L,13,5),1))</f>
        <v>45364</v>
      </c>
      <c r="G20" s="90">
        <f>IF(Conteudo!$E$13="","",SUM(INDEX(Conteudo!B:M,13,5),1))</f>
        <v>31</v>
      </c>
      <c r="H20" s="90">
        <f>IF(Conteudo!$E$13="","",SUM(INDEX(Conteudo!C:N,13,5),1))</f>
        <v>24</v>
      </c>
      <c r="I20" s="90">
        <f>IF(Conteudo!$E$13="","",SUM(INDEX(Conteudo!D:O,13,5),1))</f>
        <v>1.7666666666666666</v>
      </c>
      <c r="J20" s="90">
        <f>IF(Conteudo!$E$13="","",SUM(INDEX(Conteudo!E:P,13,5),1))</f>
        <v>3</v>
      </c>
      <c r="K20" s="90">
        <f>IF(Conteudo!$E$13="","",SUM(INDEX(Conteudo!F:Q,13,5),1))</f>
        <v>1</v>
      </c>
      <c r="L20" s="90">
        <f>IF(Conteudo!$E$13="","",SUM(INDEX(Conteudo!G:R,13,5),1))</f>
        <v>45365</v>
      </c>
      <c r="M20" s="90">
        <f>IF(Conteudo!$E$13="","",SUM(INDEX(Conteudo!H:S,13,5),1))</f>
        <v>45371</v>
      </c>
      <c r="N20" s="90">
        <f>IF(Conteudo!$E$13="","",SUM(INDEX(Conteudo!I:T,13,5),1))</f>
        <v>45379</v>
      </c>
      <c r="O20" s="90">
        <f>IF(Conteudo!$E$13="","",SUM(INDEX(Conteudo!J:U,13,5),1))</f>
        <v>1</v>
      </c>
    </row>
    <row r="21" spans="1:15" ht="30" customHeight="1" thickBot="1" x14ac:dyDescent="0.3">
      <c r="A21" s="18" t="s">
        <v>89</v>
      </c>
      <c r="B21" s="170"/>
      <c r="C21"/>
      <c r="D21" s="73"/>
      <c r="I21"/>
    </row>
    <row r="22" spans="1:15" ht="30" customHeight="1" thickBot="1" x14ac:dyDescent="0.3">
      <c r="A22" s="18" t="s">
        <v>89</v>
      </c>
      <c r="B22" s="170"/>
      <c r="C22"/>
      <c r="D22" s="73"/>
      <c r="I22"/>
    </row>
    <row r="23" spans="1:15" ht="30" customHeight="1" thickBot="1" x14ac:dyDescent="0.3">
      <c r="A23" s="18" t="s">
        <v>89</v>
      </c>
      <c r="B23" s="170"/>
      <c r="C23"/>
      <c r="D23" s="73"/>
      <c r="I23"/>
    </row>
    <row r="24" spans="1:15" ht="30" customHeight="1" thickBot="1" x14ac:dyDescent="0.3">
      <c r="A24" s="18" t="s">
        <v>89</v>
      </c>
      <c r="B24" s="170"/>
      <c r="C24"/>
      <c r="D24" s="73"/>
      <c r="I24"/>
    </row>
    <row r="25" spans="1:15" ht="30" customHeight="1" thickBot="1" x14ac:dyDescent="0.3">
      <c r="A25" s="18" t="s">
        <v>89</v>
      </c>
      <c r="B25" s="170"/>
      <c r="C25"/>
      <c r="D25" s="73"/>
      <c r="I25"/>
    </row>
    <row r="26" spans="1:15" ht="30" customHeight="1" thickBot="1" x14ac:dyDescent="0.3">
      <c r="A26" s="18" t="s">
        <v>89</v>
      </c>
      <c r="B26" s="170"/>
      <c r="C26"/>
      <c r="D26" s="73"/>
      <c r="I26"/>
    </row>
    <row r="27" spans="1:15" ht="30" customHeight="1" thickBot="1" x14ac:dyDescent="0.3">
      <c r="A27" s="18" t="s">
        <v>89</v>
      </c>
      <c r="B27" s="170"/>
      <c r="C27"/>
      <c r="D27" s="73"/>
      <c r="I27"/>
    </row>
    <row r="28" spans="1:15" ht="30" customHeight="1" thickBot="1" x14ac:dyDescent="0.3">
      <c r="A28" s="18" t="s">
        <v>89</v>
      </c>
      <c r="B28" s="170"/>
      <c r="C28"/>
      <c r="D28" s="73"/>
      <c r="I28"/>
    </row>
    <row r="29" spans="1:15" ht="30" customHeight="1" thickBot="1" x14ac:dyDescent="0.3">
      <c r="A29" s="18" t="s">
        <v>89</v>
      </c>
      <c r="B29" s="170"/>
      <c r="C29"/>
      <c r="D29" s="73"/>
      <c r="I29"/>
    </row>
    <row r="30" spans="1:15" ht="30" customHeight="1" thickBot="1" x14ac:dyDescent="0.3">
      <c r="A30" s="18" t="s">
        <v>89</v>
      </c>
      <c r="B30" s="170"/>
      <c r="C30"/>
      <c r="D30" s="73"/>
      <c r="I30"/>
    </row>
    <row r="31" spans="1:15" x14ac:dyDescent="0.25">
      <c r="A31"/>
      <c r="B31"/>
      <c r="C31"/>
      <c r="D31" s="73"/>
    </row>
  </sheetData>
  <sheetProtection algorithmName="SHA-512" hashValue="blMGuvinm1+qI4dlVREa3JRI5IbQvGUssPxV/TEvqD500D2wUVsiiVcgwwmUL6/a5lsMRHaIxEwVYkVVam4c6A==" saltValue="7meRQNxm9iKAwunXyb24GA==" spinCount="100000" sheet="1" objects="1" scenarios="1"/>
  <mergeCells count="16">
    <mergeCell ref="J11:L11"/>
    <mergeCell ref="J12:L12"/>
    <mergeCell ref="A4:A5"/>
    <mergeCell ref="F2:F3"/>
    <mergeCell ref="F4:F5"/>
    <mergeCell ref="E4:E5"/>
    <mergeCell ref="B1:B5"/>
    <mergeCell ref="L2:L3"/>
    <mergeCell ref="L4:L5"/>
    <mergeCell ref="K4:K5"/>
    <mergeCell ref="H2:H3"/>
    <mergeCell ref="G4:G5"/>
    <mergeCell ref="H4:H5"/>
    <mergeCell ref="J2:J3"/>
    <mergeCell ref="J4:J5"/>
    <mergeCell ref="I4:I5"/>
  </mergeCells>
  <conditionalFormatting sqref="H9">
    <cfRule type="containsText" dxfId="179" priority="4" operator="containsText" text="Difícil">
      <formula>NOT(ISERROR(SEARCH("Difícil",H9)))</formula>
    </cfRule>
    <cfRule type="containsText" dxfId="178" priority="5" operator="containsText" text="Médio">
      <formula>NOT(ISERROR(SEARCH("Médio",H9)))</formula>
    </cfRule>
    <cfRule type="containsText" dxfId="177" priority="6" operator="containsText" text="Facíl">
      <formula>NOT(ISERROR(SEARCH("Facíl",H9)))</formula>
    </cfRule>
  </conditionalFormatting>
  <conditionalFormatting sqref="H14">
    <cfRule type="containsText" dxfId="176" priority="1" operator="containsText" text="Difícil">
      <formula>NOT(ISERROR(SEARCH("Difícil",H14)))</formula>
    </cfRule>
    <cfRule type="containsText" dxfId="175" priority="2" operator="containsText" text="Médio">
      <formula>NOT(ISERROR(SEARCH("Médio",H14)))</formula>
    </cfRule>
    <cfRule type="containsText" dxfId="174" priority="3" operator="containsText" text="Facíl">
      <formula>NOT(ISERROR(SEARCH("Facíl",H14)))</formula>
    </cfRule>
  </conditionalFormatting>
  <hyperlinks>
    <hyperlink ref="F14" r:id="rId1" tooltip="Site de Simulado" xr:uid="{00000000-0004-0000-0500-000000000000}"/>
    <hyperlink ref="H14:H15" r:id="rId2" tooltip="Pagina de Pesquisa do Google" display="Google" xr:uid="{00000000-0004-0000-0500-000001000000}"/>
    <hyperlink ref="J14:J15" r:id="rId3" tooltip="Pagina do Youtube " display="Youtube" xr:uid="{00000000-0004-0000-0500-000002000000}"/>
    <hyperlink ref="L7" location="Conteudo!A1" display="◄ Voltar" xr:uid="{00000000-0004-0000-0500-000003000000}"/>
  </hyperlinks>
  <pageMargins left="0.511811024" right="0.511811024" top="0.78740157499999996" bottom="0.78740157499999996" header="0.31496062000000002" footer="0.31496062000000002"/>
  <pageSetup paperSize="9" orientation="portrait" horizontalDpi="4294967293" verticalDpi="0" r:id="rId4"/>
  <drawing r:id="rId5"/>
  <legacyDrawing r:id="rId6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O31"/>
  <sheetViews>
    <sheetView showGridLines="0" showRowColHeaders="0" workbookViewId="0">
      <selection activeCell="B6" sqref="B6:B30"/>
    </sheetView>
  </sheetViews>
  <sheetFormatPr defaultRowHeight="15" x14ac:dyDescent="0.25"/>
  <cols>
    <col min="1" max="1" width="3.140625" style="78" customWidth="1"/>
    <col min="2" max="2" width="42" style="78" customWidth="1"/>
    <col min="3" max="4" width="0.85546875" style="78" customWidth="1"/>
    <col min="5" max="5" width="1.5703125" style="78" customWidth="1"/>
    <col min="6" max="6" width="14.7109375" style="78" customWidth="1"/>
    <col min="7" max="7" width="14.7109375" style="78" hidden="1" customWidth="1"/>
    <col min="8" max="8" width="14.7109375" style="78" customWidth="1"/>
    <col min="9" max="9" width="14.7109375" style="78" hidden="1" customWidth="1"/>
    <col min="10" max="10" width="14.7109375" style="78" customWidth="1"/>
    <col min="11" max="11" width="14.7109375" style="78" hidden="1" customWidth="1"/>
    <col min="12" max="16" width="14.7109375" style="78" customWidth="1"/>
    <col min="17" max="16384" width="9.140625" style="78"/>
  </cols>
  <sheetData>
    <row r="1" spans="1:12" ht="8.25" customHeight="1" thickBot="1" x14ac:dyDescent="0.3">
      <c r="A1" s="73"/>
      <c r="B1" s="234" t="str">
        <f>VLOOKUP(A4,Começo!A:C,3,0)</f>
        <v>Matemática</v>
      </c>
      <c r="C1" s="73"/>
      <c r="D1" s="73"/>
    </row>
    <row r="2" spans="1:12" ht="15.75" customHeight="1" thickBot="1" x14ac:dyDescent="0.3">
      <c r="A2" s="73"/>
      <c r="B2" s="234"/>
      <c r="C2" s="73"/>
      <c r="D2" s="73"/>
      <c r="F2" s="231" t="s">
        <v>488</v>
      </c>
      <c r="G2" s="85"/>
      <c r="H2" s="237" t="s">
        <v>489</v>
      </c>
      <c r="I2" s="86"/>
      <c r="J2" s="237" t="s">
        <v>85</v>
      </c>
      <c r="K2" s="86"/>
      <c r="L2" s="231" t="s">
        <v>490</v>
      </c>
    </row>
    <row r="3" spans="1:12" ht="15.75" customHeight="1" thickBot="1" x14ac:dyDescent="0.3">
      <c r="A3" s="73"/>
      <c r="B3" s="234"/>
      <c r="C3" s="73"/>
      <c r="D3" s="73"/>
      <c r="F3" s="231"/>
      <c r="G3" s="85"/>
      <c r="H3" s="237"/>
      <c r="I3" s="86"/>
      <c r="J3" s="237"/>
      <c r="K3" s="86"/>
      <c r="L3" s="231"/>
    </row>
    <row r="4" spans="1:12" ht="15.75" customHeight="1" thickBot="1" x14ac:dyDescent="0.3">
      <c r="A4" s="230">
        <v>2</v>
      </c>
      <c r="B4" s="234"/>
      <c r="C4" s="74"/>
      <c r="D4" s="74"/>
      <c r="E4" s="233">
        <v>2</v>
      </c>
      <c r="F4" s="232">
        <f>INDEX(Conteudo!A:J,14,5)</f>
        <v>45364</v>
      </c>
      <c r="G4" s="238">
        <v>2</v>
      </c>
      <c r="H4" s="239">
        <f>INDEX(Conteudo!A:J,14,6)</f>
        <v>20</v>
      </c>
      <c r="I4" s="236">
        <v>2</v>
      </c>
      <c r="J4" s="239">
        <f>INDEX(Conteudo!A:J,14,7)</f>
        <v>15</v>
      </c>
      <c r="K4" s="236">
        <v>2</v>
      </c>
      <c r="L4" s="235">
        <f>INDEX(Conteudo!A:J,14,8)</f>
        <v>0.75</v>
      </c>
    </row>
    <row r="5" spans="1:12" ht="15.75" customHeight="1" thickBot="1" x14ac:dyDescent="0.3">
      <c r="A5" s="230"/>
      <c r="B5" s="234"/>
      <c r="C5" s="74"/>
      <c r="D5" s="74"/>
      <c r="E5" s="233"/>
      <c r="F5" s="232"/>
      <c r="G5" s="238"/>
      <c r="H5" s="239"/>
      <c r="I5" s="236"/>
      <c r="J5" s="239"/>
      <c r="K5" s="236"/>
      <c r="L5" s="235"/>
    </row>
    <row r="6" spans="1:12" ht="30" customHeight="1" thickBot="1" x14ac:dyDescent="0.3">
      <c r="A6" s="18" t="s">
        <v>89</v>
      </c>
      <c r="B6" s="171"/>
      <c r="C6"/>
      <c r="D6" s="73"/>
    </row>
    <row r="7" spans="1:12" ht="30" customHeight="1" thickBot="1" x14ac:dyDescent="0.3">
      <c r="A7" s="18" t="s">
        <v>89</v>
      </c>
      <c r="B7" s="172"/>
      <c r="C7" s="61"/>
      <c r="D7" s="73"/>
      <c r="F7" s="80" t="s">
        <v>79</v>
      </c>
      <c r="G7" s="79"/>
      <c r="H7" s="81">
        <f>IF(Começo!D9="","",INDEX(Começo!A:E,9,4))</f>
        <v>45334</v>
      </c>
      <c r="I7" s="75"/>
      <c r="L7" s="99" t="s">
        <v>493</v>
      </c>
    </row>
    <row r="8" spans="1:12" ht="30" customHeight="1" thickBot="1" x14ac:dyDescent="0.3">
      <c r="A8" s="18" t="s">
        <v>89</v>
      </c>
      <c r="B8" s="172"/>
      <c r="C8" s="61"/>
      <c r="D8" s="73"/>
      <c r="F8" s="80" t="s">
        <v>39</v>
      </c>
      <c r="G8" s="79"/>
      <c r="H8" s="87" t="str">
        <f>IF(Começo!D10="","",INDEX(Começo!A:E,10,4))</f>
        <v>Perito Criminal</v>
      </c>
      <c r="I8" s="76"/>
    </row>
    <row r="9" spans="1:12" ht="30" customHeight="1" thickBot="1" x14ac:dyDescent="0.3">
      <c r="A9" s="18" t="s">
        <v>89</v>
      </c>
      <c r="B9" s="172"/>
      <c r="C9"/>
      <c r="D9" s="73"/>
      <c r="F9" s="80" t="s">
        <v>1</v>
      </c>
      <c r="G9" s="79"/>
      <c r="H9" s="82" t="str">
        <f>INDEX(Começo!A:G,11,4)</f>
        <v>Médio</v>
      </c>
      <c r="I9" s="77"/>
    </row>
    <row r="10" spans="1:12" ht="30" customHeight="1" thickBot="1" x14ac:dyDescent="0.3">
      <c r="A10" s="18" t="s">
        <v>89</v>
      </c>
      <c r="B10" s="172"/>
      <c r="C10"/>
      <c r="D10" s="73"/>
      <c r="I10"/>
    </row>
    <row r="11" spans="1:12" ht="30" customHeight="1" thickBot="1" x14ac:dyDescent="0.3">
      <c r="A11" s="18" t="s">
        <v>89</v>
      </c>
      <c r="B11" s="172"/>
      <c r="C11"/>
      <c r="D11" s="73"/>
      <c r="F11" s="83" t="s">
        <v>491</v>
      </c>
      <c r="I11"/>
      <c r="J11" s="240" t="s">
        <v>478</v>
      </c>
      <c r="K11" s="241"/>
      <c r="L11" s="242"/>
    </row>
    <row r="12" spans="1:12" ht="30" customHeight="1" thickBot="1" x14ac:dyDescent="0.3">
      <c r="A12" s="18" t="s">
        <v>89</v>
      </c>
      <c r="B12" s="172"/>
      <c r="C12"/>
      <c r="D12" s="73"/>
      <c r="F12" s="84">
        <f>INDEX(Começo!A:J,9,10)</f>
        <v>271</v>
      </c>
      <c r="I12"/>
      <c r="J12" s="243" t="str">
        <f>INDEX(Começo!A:K,15,11)</f>
        <v>Razoavel</v>
      </c>
      <c r="K12" s="244"/>
      <c r="L12" s="245"/>
    </row>
    <row r="13" spans="1:12" ht="30" customHeight="1" thickBot="1" x14ac:dyDescent="0.3">
      <c r="A13" s="18" t="s">
        <v>89</v>
      </c>
      <c r="B13" s="172"/>
      <c r="C13"/>
      <c r="D13" s="73"/>
      <c r="I13"/>
    </row>
    <row r="14" spans="1:12" ht="30" customHeight="1" thickBot="1" x14ac:dyDescent="0.3">
      <c r="A14" s="18" t="s">
        <v>89</v>
      </c>
      <c r="B14" s="172"/>
      <c r="C14"/>
      <c r="D14" s="73"/>
      <c r="F14" s="92" t="s">
        <v>482</v>
      </c>
      <c r="H14" s="94" t="s">
        <v>86</v>
      </c>
      <c r="I14"/>
      <c r="J14" s="95" t="s">
        <v>87</v>
      </c>
    </row>
    <row r="15" spans="1:12" ht="30" customHeight="1" thickBot="1" x14ac:dyDescent="0.3">
      <c r="A15" s="18" t="s">
        <v>89</v>
      </c>
      <c r="B15" s="172"/>
      <c r="C15"/>
      <c r="D15" s="73"/>
    </row>
    <row r="16" spans="1:12" ht="30" customHeight="1" thickBot="1" x14ac:dyDescent="0.3">
      <c r="A16" s="18" t="s">
        <v>89</v>
      </c>
      <c r="B16" s="172"/>
      <c r="C16"/>
      <c r="D16" s="73"/>
      <c r="I16"/>
    </row>
    <row r="17" spans="1:15" ht="30" customHeight="1" thickBot="1" x14ac:dyDescent="0.3">
      <c r="A17" s="18" t="s">
        <v>89</v>
      </c>
      <c r="B17" s="172"/>
      <c r="C17"/>
      <c r="D17" s="73"/>
      <c r="F17" s="89">
        <v>1</v>
      </c>
      <c r="G17" s="89"/>
      <c r="H17" s="89">
        <v>7</v>
      </c>
      <c r="I17" s="89">
        <v>15</v>
      </c>
      <c r="J17" s="89">
        <v>30</v>
      </c>
      <c r="K17" s="89">
        <v>45</v>
      </c>
      <c r="L17" s="89">
        <v>60</v>
      </c>
      <c r="M17" s="89">
        <v>60</v>
      </c>
      <c r="N17" s="89">
        <v>75</v>
      </c>
      <c r="O17" s="89">
        <v>90</v>
      </c>
    </row>
    <row r="18" spans="1:15" ht="30" customHeight="1" thickBot="1" x14ac:dyDescent="0.3">
      <c r="A18" s="18" t="s">
        <v>89</v>
      </c>
      <c r="B18" s="172"/>
      <c r="C18"/>
      <c r="D18" s="73"/>
      <c r="F18" s="88" t="s">
        <v>484</v>
      </c>
      <c r="G18" s="88"/>
      <c r="H18" s="88" t="s">
        <v>485</v>
      </c>
      <c r="I18" s="88" t="s">
        <v>486</v>
      </c>
      <c r="J18" s="88" t="s">
        <v>100</v>
      </c>
      <c r="K18" s="88" t="s">
        <v>487</v>
      </c>
      <c r="L18" s="88" t="s">
        <v>137</v>
      </c>
      <c r="M18" s="88" t="s">
        <v>137</v>
      </c>
      <c r="N18" s="88" t="s">
        <v>138</v>
      </c>
      <c r="O18" s="88" t="s">
        <v>140</v>
      </c>
    </row>
    <row r="19" spans="1:15" ht="30" customHeight="1" thickBot="1" x14ac:dyDescent="0.3">
      <c r="A19" s="18" t="s">
        <v>89</v>
      </c>
      <c r="B19" s="172"/>
      <c r="C19"/>
      <c r="D19" s="73"/>
      <c r="F19" s="89" t="s">
        <v>95</v>
      </c>
      <c r="G19" s="89"/>
      <c r="H19" s="89" t="s">
        <v>96</v>
      </c>
      <c r="I19" s="89" t="s">
        <v>97</v>
      </c>
      <c r="J19" s="89" t="s">
        <v>98</v>
      </c>
      <c r="K19" s="89" t="s">
        <v>136</v>
      </c>
      <c r="L19" s="89" t="s">
        <v>135</v>
      </c>
      <c r="M19" s="89" t="s">
        <v>135</v>
      </c>
      <c r="N19" s="89" t="s">
        <v>139</v>
      </c>
      <c r="O19" s="89" t="s">
        <v>141</v>
      </c>
    </row>
    <row r="20" spans="1:15" ht="30" customHeight="1" thickBot="1" x14ac:dyDescent="0.3">
      <c r="A20" s="18" t="s">
        <v>89</v>
      </c>
      <c r="B20" s="172"/>
      <c r="C20"/>
      <c r="D20" s="73"/>
      <c r="F20" s="90">
        <f>IF(Conteudo!$E$14="","",SUM(INDEX(Conteudo!A:L,14,5),1))</f>
        <v>45365</v>
      </c>
      <c r="G20" s="90">
        <f>IF(Conteudo!$E$14="","",SUM(INDEX(Conteudo!B:M,14,5),1))</f>
        <v>21</v>
      </c>
      <c r="H20" s="90">
        <f>IF(Conteudo!$E$14="","",SUM(INDEX(Conteudo!C:N,14,5),1))</f>
        <v>16</v>
      </c>
      <c r="I20" s="90">
        <f>IF(Conteudo!$E$14="","",SUM(INDEX(Conteudo!D:O,14,5),1))</f>
        <v>1.75</v>
      </c>
      <c r="J20" s="90">
        <f>IF(Conteudo!$E$14="","",SUM(INDEX(Conteudo!E:P,14,5),1))</f>
        <v>4</v>
      </c>
      <c r="K20" s="90">
        <f>IF(Conteudo!$E$14="","",SUM(INDEX(Conteudo!F:Q,14,5),1))</f>
        <v>1</v>
      </c>
      <c r="L20" s="90">
        <f>IF(Conteudo!$E$14="","",SUM(INDEX(Conteudo!G:R,14,5),1))</f>
        <v>45366</v>
      </c>
      <c r="M20" s="90">
        <f>IF(Conteudo!$E$14="","",SUM(INDEX(Conteudo!H:S,14,5),1))</f>
        <v>45372</v>
      </c>
      <c r="N20" s="90">
        <f>IF(Conteudo!$E$14="","",SUM(INDEX(Conteudo!I:T,14,5),1))</f>
        <v>45380</v>
      </c>
      <c r="O20" s="90">
        <f>IF(Conteudo!$E$14="","",SUM(INDEX(Conteudo!J:U,14,5),1))</f>
        <v>1</v>
      </c>
    </row>
    <row r="21" spans="1:15" ht="30" customHeight="1" thickBot="1" x14ac:dyDescent="0.3">
      <c r="A21" s="18" t="s">
        <v>89</v>
      </c>
      <c r="B21" s="172"/>
      <c r="C21"/>
      <c r="D21" s="73"/>
      <c r="I21"/>
    </row>
    <row r="22" spans="1:15" ht="30" customHeight="1" thickBot="1" x14ac:dyDescent="0.3">
      <c r="A22" s="18" t="s">
        <v>89</v>
      </c>
      <c r="B22" s="172"/>
      <c r="C22"/>
      <c r="D22" s="73"/>
      <c r="I22"/>
    </row>
    <row r="23" spans="1:15" ht="30" customHeight="1" thickBot="1" x14ac:dyDescent="0.3">
      <c r="A23" s="18" t="s">
        <v>89</v>
      </c>
      <c r="B23" s="172"/>
      <c r="C23"/>
      <c r="D23" s="73"/>
      <c r="I23"/>
    </row>
    <row r="24" spans="1:15" ht="30" customHeight="1" thickBot="1" x14ac:dyDescent="0.3">
      <c r="A24" s="18" t="s">
        <v>89</v>
      </c>
      <c r="B24" s="172"/>
      <c r="C24"/>
      <c r="D24" s="73"/>
      <c r="I24"/>
    </row>
    <row r="25" spans="1:15" ht="30" customHeight="1" thickBot="1" x14ac:dyDescent="0.3">
      <c r="A25" s="18" t="s">
        <v>89</v>
      </c>
      <c r="B25" s="172"/>
      <c r="C25"/>
      <c r="D25" s="73"/>
      <c r="I25"/>
    </row>
    <row r="26" spans="1:15" ht="30" customHeight="1" thickBot="1" x14ac:dyDescent="0.3">
      <c r="A26" s="18" t="s">
        <v>89</v>
      </c>
      <c r="B26" s="172"/>
      <c r="C26"/>
      <c r="D26" s="73"/>
      <c r="I26"/>
    </row>
    <row r="27" spans="1:15" ht="30" customHeight="1" thickBot="1" x14ac:dyDescent="0.3">
      <c r="A27" s="18" t="s">
        <v>89</v>
      </c>
      <c r="B27" s="172"/>
      <c r="C27"/>
      <c r="D27" s="73"/>
      <c r="I27"/>
    </row>
    <row r="28" spans="1:15" ht="30" customHeight="1" thickBot="1" x14ac:dyDescent="0.3">
      <c r="A28" s="18" t="s">
        <v>89</v>
      </c>
      <c r="B28" s="172"/>
      <c r="C28"/>
      <c r="D28" s="73"/>
      <c r="I28"/>
    </row>
    <row r="29" spans="1:15" ht="30" customHeight="1" thickBot="1" x14ac:dyDescent="0.3">
      <c r="A29" s="18" t="s">
        <v>89</v>
      </c>
      <c r="B29" s="172"/>
      <c r="C29"/>
      <c r="D29" s="73"/>
      <c r="I29"/>
    </row>
    <row r="30" spans="1:15" ht="30" customHeight="1" thickBot="1" x14ac:dyDescent="0.3">
      <c r="A30" s="18" t="s">
        <v>89</v>
      </c>
      <c r="B30" s="172"/>
      <c r="C30"/>
      <c r="D30" s="73"/>
      <c r="I30"/>
    </row>
    <row r="31" spans="1:15" x14ac:dyDescent="0.25">
      <c r="A31"/>
      <c r="B31"/>
      <c r="C31"/>
      <c r="D31" s="73"/>
    </row>
  </sheetData>
  <sheetProtection algorithmName="SHA-512" hashValue="V0Iz0yV/jqc9woFUkExfUHu2Ijx9jLV5q+XkQSYVHqqDozrWwY2dmpmu5EpotOqtmRzldISAILc0uIrEm8RHXw==" saltValue="hXyqF+qsu0eM0viBVZKCng==" spinCount="100000" sheet="1" objects="1" scenarios="1"/>
  <mergeCells count="16">
    <mergeCell ref="J11:L11"/>
    <mergeCell ref="J12:L12"/>
    <mergeCell ref="A4:A5"/>
    <mergeCell ref="E4:E5"/>
    <mergeCell ref="F4:F5"/>
    <mergeCell ref="G4:G5"/>
    <mergeCell ref="H4:H5"/>
    <mergeCell ref="I4:I5"/>
    <mergeCell ref="J4:J5"/>
    <mergeCell ref="K4:K5"/>
    <mergeCell ref="L4:L5"/>
    <mergeCell ref="B1:B5"/>
    <mergeCell ref="F2:F3"/>
    <mergeCell ref="H2:H3"/>
    <mergeCell ref="J2:J3"/>
    <mergeCell ref="L2:L3"/>
  </mergeCells>
  <conditionalFormatting sqref="H9">
    <cfRule type="containsText" dxfId="173" priority="4" operator="containsText" text="Difícil">
      <formula>NOT(ISERROR(SEARCH("Difícil",H9)))</formula>
    </cfRule>
    <cfRule type="containsText" dxfId="172" priority="5" operator="containsText" text="Médio">
      <formula>NOT(ISERROR(SEARCH("Médio",H9)))</formula>
    </cfRule>
    <cfRule type="containsText" dxfId="171" priority="6" operator="containsText" text="Facíl">
      <formula>NOT(ISERROR(SEARCH("Facíl",H9)))</formula>
    </cfRule>
  </conditionalFormatting>
  <conditionalFormatting sqref="H14">
    <cfRule type="containsText" dxfId="170" priority="1" operator="containsText" text="Difícil">
      <formula>NOT(ISERROR(SEARCH("Difícil",H14)))</formula>
    </cfRule>
    <cfRule type="containsText" dxfId="169" priority="2" operator="containsText" text="Médio">
      <formula>NOT(ISERROR(SEARCH("Médio",H14)))</formula>
    </cfRule>
    <cfRule type="containsText" dxfId="168" priority="3" operator="containsText" text="Facíl">
      <formula>NOT(ISERROR(SEARCH("Facíl",H14)))</formula>
    </cfRule>
  </conditionalFormatting>
  <hyperlinks>
    <hyperlink ref="F14" r:id="rId1" tooltip="Site de Simulado" xr:uid="{00000000-0004-0000-0600-000000000000}"/>
    <hyperlink ref="H14:H15" r:id="rId2" tooltip="Pagina de Pesquisa do Google" display="Google" xr:uid="{00000000-0004-0000-0600-000001000000}"/>
    <hyperlink ref="J14:J15" r:id="rId3" tooltip="Pagina do Youtube " display="Youtube" xr:uid="{00000000-0004-0000-0600-000002000000}"/>
    <hyperlink ref="L7" location="Conteudo!A1" display="◄ Voltar" xr:uid="{00000000-0004-0000-0600-000003000000}"/>
  </hyperlinks>
  <pageMargins left="0.511811024" right="0.511811024" top="0.78740157499999996" bottom="0.78740157499999996" header="0.31496062000000002" footer="0.31496062000000002"/>
  <drawing r:id="rId4"/>
  <legacyDrawing r:id="rId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O31"/>
  <sheetViews>
    <sheetView showGridLines="0" showRowColHeaders="0" workbookViewId="0">
      <selection activeCell="B6" sqref="B6:B30"/>
    </sheetView>
  </sheetViews>
  <sheetFormatPr defaultRowHeight="15" x14ac:dyDescent="0.25"/>
  <cols>
    <col min="1" max="1" width="3.140625" style="78" customWidth="1"/>
    <col min="2" max="2" width="42" style="78" customWidth="1"/>
    <col min="3" max="4" width="0.85546875" style="78" customWidth="1"/>
    <col min="5" max="5" width="1.5703125" style="78" customWidth="1"/>
    <col min="6" max="6" width="14.7109375" style="78" customWidth="1"/>
    <col min="7" max="7" width="14.7109375" style="78" hidden="1" customWidth="1"/>
    <col min="8" max="8" width="14.7109375" style="78" customWidth="1"/>
    <col min="9" max="9" width="14.7109375" style="78" hidden="1" customWidth="1"/>
    <col min="10" max="10" width="14.7109375" style="78" customWidth="1"/>
    <col min="11" max="11" width="14.7109375" style="78" hidden="1" customWidth="1"/>
    <col min="12" max="16" width="14.7109375" style="78" customWidth="1"/>
    <col min="17" max="16384" width="9.140625" style="78"/>
  </cols>
  <sheetData>
    <row r="1" spans="1:12" ht="8.25" customHeight="1" thickBot="1" x14ac:dyDescent="0.3">
      <c r="A1" s="73"/>
      <c r="B1" s="234" t="str">
        <f>VLOOKUP(A4,Começo!A:C,3,0)</f>
        <v>História</v>
      </c>
      <c r="C1" s="73"/>
      <c r="D1" s="73"/>
    </row>
    <row r="2" spans="1:12" ht="15.75" customHeight="1" thickBot="1" x14ac:dyDescent="0.3">
      <c r="A2" s="73"/>
      <c r="B2" s="234"/>
      <c r="C2" s="73"/>
      <c r="D2" s="73"/>
      <c r="F2" s="231" t="s">
        <v>488</v>
      </c>
      <c r="G2" s="85"/>
      <c r="H2" s="237" t="s">
        <v>489</v>
      </c>
      <c r="I2" s="86"/>
      <c r="J2" s="237" t="s">
        <v>85</v>
      </c>
      <c r="K2" s="86"/>
      <c r="L2" s="231" t="s">
        <v>490</v>
      </c>
    </row>
    <row r="3" spans="1:12" ht="15.75" customHeight="1" thickBot="1" x14ac:dyDescent="0.3">
      <c r="A3" s="73"/>
      <c r="B3" s="234"/>
      <c r="C3" s="73"/>
      <c r="D3" s="73"/>
      <c r="F3" s="231"/>
      <c r="G3" s="85"/>
      <c r="H3" s="237"/>
      <c r="I3" s="86"/>
      <c r="J3" s="237"/>
      <c r="K3" s="86"/>
      <c r="L3" s="231"/>
    </row>
    <row r="4" spans="1:12" ht="15.75" customHeight="1" thickBot="1" x14ac:dyDescent="0.3">
      <c r="A4" s="230">
        <v>3</v>
      </c>
      <c r="B4" s="234"/>
      <c r="C4" s="74"/>
      <c r="D4" s="74"/>
      <c r="E4" s="233">
        <v>1</v>
      </c>
      <c r="F4" s="232">
        <f>INDEX(Conteudo!A:J,15,5)</f>
        <v>45365</v>
      </c>
      <c r="G4" s="238">
        <v>1</v>
      </c>
      <c r="H4" s="239">
        <f>INDEX(Conteudo!A:J,15,6)</f>
        <v>25</v>
      </c>
      <c r="I4" s="236">
        <v>1</v>
      </c>
      <c r="J4" s="239">
        <f>INDEX(Conteudo!A:J,15,7)</f>
        <v>11</v>
      </c>
      <c r="K4" s="236">
        <v>1</v>
      </c>
      <c r="L4" s="235">
        <f>INDEX(Conteudo!A:J,15,8)</f>
        <v>0.44</v>
      </c>
    </row>
    <row r="5" spans="1:12" ht="15.75" customHeight="1" thickBot="1" x14ac:dyDescent="0.3">
      <c r="A5" s="230"/>
      <c r="B5" s="234"/>
      <c r="C5" s="74"/>
      <c r="D5" s="74"/>
      <c r="E5" s="233"/>
      <c r="F5" s="232"/>
      <c r="G5" s="238"/>
      <c r="H5" s="239"/>
      <c r="I5" s="236"/>
      <c r="J5" s="239"/>
      <c r="K5" s="236"/>
      <c r="L5" s="235"/>
    </row>
    <row r="6" spans="1:12" ht="30" customHeight="1" thickBot="1" x14ac:dyDescent="0.3">
      <c r="A6" s="18" t="s">
        <v>89</v>
      </c>
      <c r="B6" s="171"/>
      <c r="C6"/>
      <c r="D6" s="73"/>
    </row>
    <row r="7" spans="1:12" ht="30" customHeight="1" thickBot="1" x14ac:dyDescent="0.3">
      <c r="A7" s="18" t="s">
        <v>89</v>
      </c>
      <c r="B7" s="172"/>
      <c r="C7" s="61"/>
      <c r="D7" s="73"/>
      <c r="F7" s="80" t="s">
        <v>79</v>
      </c>
      <c r="G7" s="79"/>
      <c r="H7" s="81">
        <f>IF(Começo!D9="","",INDEX(Começo!A:E,9,4))</f>
        <v>45334</v>
      </c>
      <c r="I7" s="75"/>
      <c r="L7" s="98" t="s">
        <v>493</v>
      </c>
    </row>
    <row r="8" spans="1:12" ht="30" customHeight="1" thickBot="1" x14ac:dyDescent="0.3">
      <c r="A8" s="18" t="s">
        <v>89</v>
      </c>
      <c r="B8" s="172"/>
      <c r="C8" s="61"/>
      <c r="D8" s="73"/>
      <c r="F8" s="80" t="s">
        <v>39</v>
      </c>
      <c r="G8" s="79"/>
      <c r="H8" s="87" t="str">
        <f>IF(Começo!D10="","",INDEX(Começo!A:E,10,4))</f>
        <v>Perito Criminal</v>
      </c>
      <c r="I8" s="76"/>
    </row>
    <row r="9" spans="1:12" ht="30" customHeight="1" thickBot="1" x14ac:dyDescent="0.3">
      <c r="A9" s="18" t="s">
        <v>89</v>
      </c>
      <c r="B9" s="172"/>
      <c r="C9"/>
      <c r="D9" s="73"/>
      <c r="F9" s="80" t="s">
        <v>1</v>
      </c>
      <c r="G9" s="79"/>
      <c r="H9" s="82" t="str">
        <f>INDEX(Começo!A:G,11,4)</f>
        <v>Médio</v>
      </c>
      <c r="I9" s="77"/>
    </row>
    <row r="10" spans="1:12" ht="30" customHeight="1" thickBot="1" x14ac:dyDescent="0.3">
      <c r="A10" s="18" t="s">
        <v>89</v>
      </c>
      <c r="B10" s="172"/>
      <c r="C10"/>
      <c r="D10" s="73"/>
      <c r="I10"/>
    </row>
    <row r="11" spans="1:12" ht="30" customHeight="1" thickBot="1" x14ac:dyDescent="0.3">
      <c r="A11" s="18" t="s">
        <v>89</v>
      </c>
      <c r="B11" s="172"/>
      <c r="C11"/>
      <c r="D11" s="73"/>
      <c r="F11" s="83" t="s">
        <v>491</v>
      </c>
      <c r="I11"/>
      <c r="J11" s="240" t="s">
        <v>478</v>
      </c>
      <c r="K11" s="241"/>
      <c r="L11" s="242"/>
    </row>
    <row r="12" spans="1:12" ht="30" customHeight="1" thickBot="1" x14ac:dyDescent="0.3">
      <c r="A12" s="18" t="s">
        <v>89</v>
      </c>
      <c r="B12" s="172"/>
      <c r="C12"/>
      <c r="D12" s="73"/>
      <c r="F12" s="84">
        <f>INDEX(Começo!A:J,9,10)</f>
        <v>271</v>
      </c>
      <c r="I12"/>
      <c r="J12" s="243" t="str">
        <f>INDEX(Começo!A:K,16,11)</f>
        <v>Bom</v>
      </c>
      <c r="K12" s="244"/>
      <c r="L12" s="245"/>
    </row>
    <row r="13" spans="1:12" ht="30" customHeight="1" thickBot="1" x14ac:dyDescent="0.3">
      <c r="A13" s="18" t="s">
        <v>89</v>
      </c>
      <c r="B13" s="172"/>
      <c r="C13"/>
      <c r="D13" s="73"/>
      <c r="I13"/>
    </row>
    <row r="14" spans="1:12" ht="30" customHeight="1" thickBot="1" x14ac:dyDescent="0.3">
      <c r="A14" s="18" t="s">
        <v>89</v>
      </c>
      <c r="B14" s="172"/>
      <c r="C14"/>
      <c r="D14" s="73"/>
      <c r="F14" s="92" t="s">
        <v>482</v>
      </c>
      <c r="H14" s="94" t="s">
        <v>86</v>
      </c>
      <c r="I14"/>
      <c r="J14" s="95" t="s">
        <v>87</v>
      </c>
    </row>
    <row r="15" spans="1:12" ht="30" customHeight="1" thickBot="1" x14ac:dyDescent="0.3">
      <c r="A15" s="18" t="s">
        <v>89</v>
      </c>
      <c r="B15" s="172"/>
      <c r="C15"/>
      <c r="D15" s="73"/>
      <c r="H15" s="93"/>
      <c r="I15"/>
      <c r="J15" s="95"/>
    </row>
    <row r="16" spans="1:12" ht="30" customHeight="1" thickBot="1" x14ac:dyDescent="0.3">
      <c r="A16" s="18" t="s">
        <v>89</v>
      </c>
      <c r="B16" s="172"/>
      <c r="C16"/>
      <c r="D16" s="73"/>
      <c r="I16"/>
    </row>
    <row r="17" spans="1:15" ht="30" customHeight="1" thickBot="1" x14ac:dyDescent="0.3">
      <c r="A17" s="18" t="s">
        <v>89</v>
      </c>
      <c r="B17" s="172"/>
      <c r="C17"/>
      <c r="D17" s="73"/>
      <c r="F17" s="89">
        <v>1</v>
      </c>
      <c r="G17" s="89"/>
      <c r="H17" s="89">
        <v>7</v>
      </c>
      <c r="I17" s="89">
        <v>15</v>
      </c>
      <c r="J17" s="89">
        <v>30</v>
      </c>
      <c r="K17" s="89">
        <v>45</v>
      </c>
      <c r="L17" s="89">
        <v>60</v>
      </c>
      <c r="M17" s="89">
        <v>60</v>
      </c>
      <c r="N17" s="89">
        <v>75</v>
      </c>
      <c r="O17" s="89">
        <v>90</v>
      </c>
    </row>
    <row r="18" spans="1:15" ht="30" customHeight="1" thickBot="1" x14ac:dyDescent="0.3">
      <c r="A18" s="18" t="s">
        <v>89</v>
      </c>
      <c r="B18" s="172"/>
      <c r="C18"/>
      <c r="D18" s="73"/>
      <c r="F18" s="88" t="s">
        <v>484</v>
      </c>
      <c r="G18" s="88"/>
      <c r="H18" s="88" t="s">
        <v>485</v>
      </c>
      <c r="I18" s="88" t="s">
        <v>486</v>
      </c>
      <c r="J18" s="88" t="s">
        <v>100</v>
      </c>
      <c r="K18" s="88" t="s">
        <v>487</v>
      </c>
      <c r="L18" s="88" t="s">
        <v>137</v>
      </c>
      <c r="M18" s="88" t="s">
        <v>137</v>
      </c>
      <c r="N18" s="88" t="s">
        <v>138</v>
      </c>
      <c r="O18" s="88" t="s">
        <v>140</v>
      </c>
    </row>
    <row r="19" spans="1:15" ht="30" customHeight="1" thickBot="1" x14ac:dyDescent="0.3">
      <c r="A19" s="18" t="s">
        <v>89</v>
      </c>
      <c r="B19" s="172"/>
      <c r="C19"/>
      <c r="D19" s="73"/>
      <c r="F19" s="89" t="s">
        <v>95</v>
      </c>
      <c r="G19" s="89"/>
      <c r="H19" s="89" t="s">
        <v>96</v>
      </c>
      <c r="I19" s="89" t="s">
        <v>97</v>
      </c>
      <c r="J19" s="89" t="s">
        <v>98</v>
      </c>
      <c r="K19" s="89" t="s">
        <v>136</v>
      </c>
      <c r="L19" s="89" t="s">
        <v>135</v>
      </c>
      <c r="M19" s="89" t="s">
        <v>135</v>
      </c>
      <c r="N19" s="89" t="s">
        <v>139</v>
      </c>
      <c r="O19" s="89" t="s">
        <v>141</v>
      </c>
    </row>
    <row r="20" spans="1:15" ht="30" customHeight="1" thickBot="1" x14ac:dyDescent="0.3">
      <c r="A20" s="18" t="s">
        <v>89</v>
      </c>
      <c r="B20" s="172"/>
      <c r="C20"/>
      <c r="D20" s="73"/>
      <c r="F20" s="90">
        <f>IF(Conteudo!$E$15="","",SUM(INDEX(Conteudo!A:L,15,5),1))</f>
        <v>45366</v>
      </c>
      <c r="G20" s="90">
        <f>IF(Conteudo!$E$15="","",SUM(INDEX(Conteudo!B:M,15,5),1))</f>
        <v>26</v>
      </c>
      <c r="H20" s="90">
        <f>IF(Conteudo!$E$15="","",SUM(INDEX(Conteudo!C:N,15,5),1))</f>
        <v>12</v>
      </c>
      <c r="I20" s="90">
        <f>IF(Conteudo!$E$15="","",SUM(INDEX(Conteudo!D:O,15,5),1))</f>
        <v>1.44</v>
      </c>
      <c r="J20" s="90">
        <f>IF(Conteudo!$E$15="","",SUM(INDEX(Conteudo!E:P,15,5),1))</f>
        <v>3</v>
      </c>
      <c r="K20" s="90">
        <f>IF(Conteudo!$E$15="","",SUM(INDEX(Conteudo!F:Q,15,5),1))</f>
        <v>1</v>
      </c>
      <c r="L20" s="90">
        <f>IF(Conteudo!$E$15="","",SUM(INDEX(Conteudo!G:R,15,5),1))</f>
        <v>45367</v>
      </c>
      <c r="M20" s="90">
        <f>IF(Conteudo!$E$15="","",SUM(INDEX(Conteudo!H:S,15,5),1))</f>
        <v>45373</v>
      </c>
      <c r="N20" s="90">
        <f>IF(Conteudo!$E$15="","",SUM(INDEX(Conteudo!I:T,15,5),1))</f>
        <v>45381</v>
      </c>
      <c r="O20" s="90">
        <f>IF(Conteudo!$E$15="","",SUM(INDEX(Conteudo!J:U,15,5),1))</f>
        <v>1</v>
      </c>
    </row>
    <row r="21" spans="1:15" ht="30" customHeight="1" thickBot="1" x14ac:dyDescent="0.3">
      <c r="A21" s="18" t="s">
        <v>89</v>
      </c>
      <c r="B21" s="172"/>
      <c r="C21"/>
      <c r="D21" s="73"/>
      <c r="I21"/>
    </row>
    <row r="22" spans="1:15" ht="30" customHeight="1" thickBot="1" x14ac:dyDescent="0.3">
      <c r="A22" s="18" t="s">
        <v>89</v>
      </c>
      <c r="B22" s="172"/>
      <c r="C22"/>
      <c r="D22" s="73"/>
      <c r="I22"/>
    </row>
    <row r="23" spans="1:15" ht="30" customHeight="1" thickBot="1" x14ac:dyDescent="0.3">
      <c r="A23" s="18" t="s">
        <v>89</v>
      </c>
      <c r="B23" s="172"/>
      <c r="C23"/>
      <c r="D23" s="73"/>
      <c r="I23"/>
    </row>
    <row r="24" spans="1:15" ht="30" customHeight="1" thickBot="1" x14ac:dyDescent="0.3">
      <c r="A24" s="18" t="s">
        <v>89</v>
      </c>
      <c r="B24" s="172"/>
      <c r="C24"/>
      <c r="D24" s="73"/>
      <c r="I24"/>
    </row>
    <row r="25" spans="1:15" ht="30" customHeight="1" thickBot="1" x14ac:dyDescent="0.3">
      <c r="A25" s="18" t="s">
        <v>89</v>
      </c>
      <c r="B25" s="172"/>
      <c r="C25"/>
      <c r="D25" s="73"/>
      <c r="I25"/>
    </row>
    <row r="26" spans="1:15" ht="30" customHeight="1" thickBot="1" x14ac:dyDescent="0.3">
      <c r="A26" s="18" t="s">
        <v>89</v>
      </c>
      <c r="B26" s="172"/>
      <c r="C26"/>
      <c r="D26" s="73"/>
      <c r="I26"/>
    </row>
    <row r="27" spans="1:15" ht="30" customHeight="1" thickBot="1" x14ac:dyDescent="0.3">
      <c r="A27" s="18" t="s">
        <v>89</v>
      </c>
      <c r="B27" s="172"/>
      <c r="C27"/>
      <c r="D27" s="73"/>
      <c r="I27"/>
    </row>
    <row r="28" spans="1:15" ht="30" customHeight="1" thickBot="1" x14ac:dyDescent="0.3">
      <c r="A28" s="18" t="s">
        <v>89</v>
      </c>
      <c r="B28" s="172"/>
      <c r="C28"/>
      <c r="D28" s="73"/>
      <c r="I28"/>
    </row>
    <row r="29" spans="1:15" ht="30" customHeight="1" thickBot="1" x14ac:dyDescent="0.3">
      <c r="A29" s="18" t="s">
        <v>89</v>
      </c>
      <c r="B29" s="172"/>
      <c r="C29"/>
      <c r="D29" s="73"/>
      <c r="I29"/>
    </row>
    <row r="30" spans="1:15" ht="30" customHeight="1" thickBot="1" x14ac:dyDescent="0.3">
      <c r="A30" s="18" t="s">
        <v>89</v>
      </c>
      <c r="B30" s="172"/>
      <c r="C30"/>
      <c r="D30" s="73"/>
      <c r="I30"/>
    </row>
    <row r="31" spans="1:15" x14ac:dyDescent="0.25">
      <c r="A31"/>
      <c r="B31"/>
      <c r="C31"/>
      <c r="D31" s="73"/>
    </row>
  </sheetData>
  <sheetProtection algorithmName="SHA-512" hashValue="Pttx/Rr9ZmhNHm/Bw4cwOpnSVnxTUHEQp7dBp1oz4xQ4vdYEjQklElt4X1p40yoZf4Wfs7SurX/CNErEwzHX3Q==" saltValue="9zrRzwzxGMS8UcyCNHR5vA==" spinCount="100000" sheet="1" objects="1" scenarios="1"/>
  <mergeCells count="16">
    <mergeCell ref="J11:L11"/>
    <mergeCell ref="J12:L12"/>
    <mergeCell ref="A4:A5"/>
    <mergeCell ref="E4:E5"/>
    <mergeCell ref="F4:F5"/>
    <mergeCell ref="G4:G5"/>
    <mergeCell ref="H4:H5"/>
    <mergeCell ref="I4:I5"/>
    <mergeCell ref="J4:J5"/>
    <mergeCell ref="K4:K5"/>
    <mergeCell ref="L4:L5"/>
    <mergeCell ref="B1:B5"/>
    <mergeCell ref="F2:F3"/>
    <mergeCell ref="H2:H3"/>
    <mergeCell ref="J2:J3"/>
    <mergeCell ref="L2:L3"/>
  </mergeCells>
  <conditionalFormatting sqref="H9">
    <cfRule type="containsText" dxfId="167" priority="4" operator="containsText" text="Difícil">
      <formula>NOT(ISERROR(SEARCH("Difícil",H9)))</formula>
    </cfRule>
    <cfRule type="containsText" dxfId="166" priority="5" operator="containsText" text="Médio">
      <formula>NOT(ISERROR(SEARCH("Médio",H9)))</formula>
    </cfRule>
    <cfRule type="containsText" dxfId="165" priority="6" operator="containsText" text="Facíl">
      <formula>NOT(ISERROR(SEARCH("Facíl",H9)))</formula>
    </cfRule>
  </conditionalFormatting>
  <conditionalFormatting sqref="H14">
    <cfRule type="containsText" dxfId="164" priority="1" operator="containsText" text="Difícil">
      <formula>NOT(ISERROR(SEARCH("Difícil",H14)))</formula>
    </cfRule>
    <cfRule type="containsText" dxfId="163" priority="2" operator="containsText" text="Médio">
      <formula>NOT(ISERROR(SEARCH("Médio",H14)))</formula>
    </cfRule>
    <cfRule type="containsText" dxfId="162" priority="3" operator="containsText" text="Facíl">
      <formula>NOT(ISERROR(SEARCH("Facíl",H14)))</formula>
    </cfRule>
  </conditionalFormatting>
  <hyperlinks>
    <hyperlink ref="F14" r:id="rId1" tooltip="Site de Simulado" xr:uid="{00000000-0004-0000-0700-000000000000}"/>
    <hyperlink ref="H14:H15" r:id="rId2" tooltip="Pagina de Pesquisa do Google" display="Google" xr:uid="{00000000-0004-0000-0700-000001000000}"/>
    <hyperlink ref="J14:J15" r:id="rId3" tooltip="Pagina do Youtube " display="Youtube" xr:uid="{00000000-0004-0000-0700-000002000000}"/>
    <hyperlink ref="L7" location="Conteudo!A1" display="◄ Voltar" xr:uid="{00000000-0004-0000-0700-000003000000}"/>
  </hyperlinks>
  <pageMargins left="0.511811024" right="0.511811024" top="0.78740157499999996" bottom="0.78740157499999996" header="0.31496062000000002" footer="0.31496062000000002"/>
  <drawing r:id="rId4"/>
  <legacyDrawing r:id="rId5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31"/>
  <sheetViews>
    <sheetView showGridLines="0" showRowColHeaders="0" workbookViewId="0">
      <selection activeCell="B6" sqref="B6:B30"/>
    </sheetView>
  </sheetViews>
  <sheetFormatPr defaultRowHeight="15" x14ac:dyDescent="0.25"/>
  <cols>
    <col min="1" max="1" width="3.140625" style="78" customWidth="1"/>
    <col min="2" max="2" width="42" style="78" customWidth="1"/>
    <col min="3" max="4" width="0.85546875" style="78" customWidth="1"/>
    <col min="5" max="5" width="1.5703125" style="78" customWidth="1"/>
    <col min="6" max="6" width="14.7109375" style="78" customWidth="1"/>
    <col min="7" max="7" width="14.7109375" style="78" hidden="1" customWidth="1"/>
    <col min="8" max="8" width="14.7109375" style="78" customWidth="1"/>
    <col min="9" max="9" width="14.7109375" style="78" hidden="1" customWidth="1"/>
    <col min="10" max="10" width="14.7109375" style="78" customWidth="1"/>
    <col min="11" max="11" width="14.7109375" style="78" hidden="1" customWidth="1"/>
    <col min="12" max="16" width="14.7109375" style="78" customWidth="1"/>
    <col min="17" max="16384" width="9.140625" style="78"/>
  </cols>
  <sheetData>
    <row r="1" spans="1:12" ht="8.25" customHeight="1" thickBot="1" x14ac:dyDescent="0.3">
      <c r="A1" s="73"/>
      <c r="B1" s="234" t="str">
        <f>VLOOKUP(A4,Começo!A:C,3,0)</f>
        <v>Física</v>
      </c>
      <c r="C1" s="73"/>
      <c r="D1" s="73"/>
    </row>
    <row r="2" spans="1:12" ht="15.75" customHeight="1" thickBot="1" x14ac:dyDescent="0.3">
      <c r="A2" s="73"/>
      <c r="B2" s="234"/>
      <c r="C2" s="73"/>
      <c r="D2" s="73"/>
      <c r="F2" s="231" t="s">
        <v>488</v>
      </c>
      <c r="G2" s="85"/>
      <c r="H2" s="237" t="s">
        <v>489</v>
      </c>
      <c r="I2" s="86"/>
      <c r="J2" s="237" t="s">
        <v>85</v>
      </c>
      <c r="K2" s="86"/>
      <c r="L2" s="231" t="s">
        <v>490</v>
      </c>
    </row>
    <row r="3" spans="1:12" ht="15.75" customHeight="1" thickBot="1" x14ac:dyDescent="0.3">
      <c r="A3" s="73"/>
      <c r="B3" s="234"/>
      <c r="C3" s="73"/>
      <c r="D3" s="73"/>
      <c r="F3" s="231"/>
      <c r="G3" s="85"/>
      <c r="H3" s="237"/>
      <c r="I3" s="86"/>
      <c r="J3" s="237"/>
      <c r="K3" s="86"/>
      <c r="L3" s="231"/>
    </row>
    <row r="4" spans="1:12" ht="15.75" customHeight="1" thickBot="1" x14ac:dyDescent="0.3">
      <c r="A4" s="230">
        <v>4</v>
      </c>
      <c r="B4" s="234"/>
      <c r="C4" s="74"/>
      <c r="D4" s="74"/>
      <c r="E4" s="233">
        <v>1</v>
      </c>
      <c r="F4" s="232">
        <f>INDEX(Conteudo!A:J,17,5)</f>
        <v>45367</v>
      </c>
      <c r="G4" s="238">
        <v>1</v>
      </c>
      <c r="H4" s="239">
        <f>INDEX(Conteudo!A:J,17,6)</f>
        <v>20</v>
      </c>
      <c r="I4" s="236">
        <v>1</v>
      </c>
      <c r="J4" s="239">
        <f>INDEX(Conteudo!A:J,17,7)</f>
        <v>12</v>
      </c>
      <c r="K4" s="236">
        <v>1</v>
      </c>
      <c r="L4" s="235">
        <f>INDEX(Conteudo!A:J,17,8)</f>
        <v>0.6</v>
      </c>
    </row>
    <row r="5" spans="1:12" ht="15.75" customHeight="1" thickBot="1" x14ac:dyDescent="0.3">
      <c r="A5" s="230"/>
      <c r="B5" s="234"/>
      <c r="C5" s="74"/>
      <c r="D5" s="74"/>
      <c r="E5" s="233"/>
      <c r="F5" s="232"/>
      <c r="G5" s="238"/>
      <c r="H5" s="239"/>
      <c r="I5" s="236"/>
      <c r="J5" s="239"/>
      <c r="K5" s="236"/>
      <c r="L5" s="235"/>
    </row>
    <row r="6" spans="1:12" ht="30" customHeight="1" thickBot="1" x14ac:dyDescent="0.3">
      <c r="A6" s="18" t="s">
        <v>89</v>
      </c>
      <c r="B6" s="171"/>
      <c r="C6"/>
      <c r="D6" s="73"/>
    </row>
    <row r="7" spans="1:12" ht="30" customHeight="1" thickBot="1" x14ac:dyDescent="0.3">
      <c r="A7" s="18" t="s">
        <v>89</v>
      </c>
      <c r="B7" s="172"/>
      <c r="C7" s="61"/>
      <c r="D7" s="73"/>
      <c r="F7" s="80" t="s">
        <v>79</v>
      </c>
      <c r="G7" s="79"/>
      <c r="H7" s="81">
        <f>IF(Começo!D9="","",INDEX(Começo!A:E,9,4))</f>
        <v>45334</v>
      </c>
      <c r="I7" s="75"/>
      <c r="L7" s="98" t="s">
        <v>493</v>
      </c>
    </row>
    <row r="8" spans="1:12" ht="30" customHeight="1" thickBot="1" x14ac:dyDescent="0.3">
      <c r="A8" s="18" t="s">
        <v>89</v>
      </c>
      <c r="B8" s="172"/>
      <c r="C8" s="61"/>
      <c r="D8" s="73"/>
      <c r="F8" s="80" t="s">
        <v>39</v>
      </c>
      <c r="G8" s="79"/>
      <c r="H8" s="87" t="str">
        <f>IF(Começo!D10="","",INDEX(Começo!A:E,10,4))</f>
        <v>Perito Criminal</v>
      </c>
      <c r="I8" s="76"/>
    </row>
    <row r="9" spans="1:12" ht="30" customHeight="1" thickBot="1" x14ac:dyDescent="0.3">
      <c r="A9" s="18" t="s">
        <v>89</v>
      </c>
      <c r="B9" s="172"/>
      <c r="C9"/>
      <c r="D9" s="73"/>
      <c r="F9" s="80" t="s">
        <v>1</v>
      </c>
      <c r="G9" s="79"/>
      <c r="H9" s="82" t="str">
        <f>INDEX(Começo!A:G,11,4)</f>
        <v>Médio</v>
      </c>
      <c r="I9" s="77"/>
    </row>
    <row r="10" spans="1:12" ht="30" customHeight="1" thickBot="1" x14ac:dyDescent="0.3">
      <c r="A10" s="18" t="s">
        <v>89</v>
      </c>
      <c r="B10" s="172"/>
      <c r="C10"/>
      <c r="D10" s="73"/>
      <c r="I10"/>
    </row>
    <row r="11" spans="1:12" ht="30" customHeight="1" thickBot="1" x14ac:dyDescent="0.3">
      <c r="A11" s="18" t="s">
        <v>89</v>
      </c>
      <c r="B11" s="172"/>
      <c r="C11"/>
      <c r="D11" s="73"/>
      <c r="F11" s="83" t="s">
        <v>491</v>
      </c>
      <c r="I11"/>
      <c r="J11" s="240" t="s">
        <v>478</v>
      </c>
      <c r="K11" s="241"/>
      <c r="L11" s="242"/>
    </row>
    <row r="12" spans="1:12" ht="30" customHeight="1" thickBot="1" x14ac:dyDescent="0.3">
      <c r="A12" s="18" t="s">
        <v>89</v>
      </c>
      <c r="B12" s="172"/>
      <c r="C12"/>
      <c r="D12" s="73"/>
      <c r="F12" s="84">
        <f>INDEX(Começo!A:J,9,10)</f>
        <v>271</v>
      </c>
      <c r="I12"/>
      <c r="J12" s="243" t="str">
        <f>INDEX(Começo!A:K,17,11)</f>
        <v>Bom</v>
      </c>
      <c r="K12" s="244"/>
      <c r="L12" s="245"/>
    </row>
    <row r="13" spans="1:12" ht="30" customHeight="1" thickBot="1" x14ac:dyDescent="0.3">
      <c r="A13" s="18" t="s">
        <v>89</v>
      </c>
      <c r="B13" s="172"/>
      <c r="C13"/>
      <c r="D13" s="73"/>
      <c r="I13"/>
    </row>
    <row r="14" spans="1:12" ht="30" customHeight="1" thickBot="1" x14ac:dyDescent="0.3">
      <c r="A14" s="18" t="s">
        <v>89</v>
      </c>
      <c r="B14" s="172"/>
      <c r="C14"/>
      <c r="D14" s="73"/>
      <c r="F14" s="92" t="s">
        <v>482</v>
      </c>
      <c r="H14" s="94" t="s">
        <v>86</v>
      </c>
      <c r="I14"/>
      <c r="J14" s="95" t="s">
        <v>87</v>
      </c>
    </row>
    <row r="15" spans="1:12" ht="30" customHeight="1" thickBot="1" x14ac:dyDescent="0.3">
      <c r="A15" s="18" t="s">
        <v>89</v>
      </c>
      <c r="B15" s="172"/>
      <c r="C15"/>
      <c r="D15" s="73"/>
      <c r="H15" s="93"/>
      <c r="I15"/>
      <c r="J15" s="95"/>
    </row>
    <row r="16" spans="1:12" ht="30" customHeight="1" thickBot="1" x14ac:dyDescent="0.3">
      <c r="A16" s="18" t="s">
        <v>89</v>
      </c>
      <c r="B16" s="172"/>
      <c r="C16"/>
      <c r="D16" s="73"/>
      <c r="I16"/>
    </row>
    <row r="17" spans="1:15" ht="30" customHeight="1" thickBot="1" x14ac:dyDescent="0.3">
      <c r="A17" s="18" t="s">
        <v>89</v>
      </c>
      <c r="B17" s="172"/>
      <c r="C17"/>
      <c r="D17" s="73"/>
      <c r="F17" s="89">
        <v>1</v>
      </c>
      <c r="G17" s="89"/>
      <c r="H17" s="89">
        <v>7</v>
      </c>
      <c r="I17" s="89">
        <v>15</v>
      </c>
      <c r="J17" s="89">
        <v>30</v>
      </c>
      <c r="K17" s="89">
        <v>45</v>
      </c>
      <c r="L17" s="89">
        <v>60</v>
      </c>
      <c r="M17" s="89">
        <v>60</v>
      </c>
      <c r="N17" s="89">
        <v>75</v>
      </c>
      <c r="O17" s="89">
        <v>90</v>
      </c>
    </row>
    <row r="18" spans="1:15" ht="30" customHeight="1" thickBot="1" x14ac:dyDescent="0.3">
      <c r="A18" s="18" t="s">
        <v>89</v>
      </c>
      <c r="B18" s="172"/>
      <c r="C18"/>
      <c r="D18" s="73"/>
      <c r="F18" s="88" t="s">
        <v>484</v>
      </c>
      <c r="G18" s="88"/>
      <c r="H18" s="88" t="s">
        <v>485</v>
      </c>
      <c r="I18" s="88" t="s">
        <v>486</v>
      </c>
      <c r="J18" s="88" t="s">
        <v>100</v>
      </c>
      <c r="K18" s="88" t="s">
        <v>487</v>
      </c>
      <c r="L18" s="88" t="s">
        <v>137</v>
      </c>
      <c r="M18" s="88" t="s">
        <v>137</v>
      </c>
      <c r="N18" s="88" t="s">
        <v>138</v>
      </c>
      <c r="O18" s="88" t="s">
        <v>140</v>
      </c>
    </row>
    <row r="19" spans="1:15" ht="30" customHeight="1" thickBot="1" x14ac:dyDescent="0.3">
      <c r="A19" s="18" t="s">
        <v>89</v>
      </c>
      <c r="B19" s="172"/>
      <c r="C19"/>
      <c r="D19" s="73"/>
      <c r="F19" s="89" t="s">
        <v>95</v>
      </c>
      <c r="G19" s="89"/>
      <c r="H19" s="89" t="s">
        <v>96</v>
      </c>
      <c r="I19" s="89" t="s">
        <v>97</v>
      </c>
      <c r="J19" s="89" t="s">
        <v>98</v>
      </c>
      <c r="K19" s="89" t="s">
        <v>136</v>
      </c>
      <c r="L19" s="89" t="s">
        <v>135</v>
      </c>
      <c r="M19" s="89" t="s">
        <v>135</v>
      </c>
      <c r="N19" s="89" t="s">
        <v>139</v>
      </c>
      <c r="O19" s="89" t="s">
        <v>141</v>
      </c>
    </row>
    <row r="20" spans="1:15" ht="30" customHeight="1" thickBot="1" x14ac:dyDescent="0.3">
      <c r="A20" s="18" t="s">
        <v>89</v>
      </c>
      <c r="B20" s="172"/>
      <c r="C20"/>
      <c r="D20" s="73"/>
      <c r="F20" s="90">
        <f>SUM(INDEX(Conteudo!A:L,17,5),1)</f>
        <v>45368</v>
      </c>
      <c r="G20" s="91"/>
      <c r="H20" s="90">
        <f>SUM($F$20,H17)</f>
        <v>45375</v>
      </c>
      <c r="I20" s="90">
        <f t="shared" ref="I20:O20" si="0">SUM($F$20,I17)</f>
        <v>45383</v>
      </c>
      <c r="J20" s="90">
        <f t="shared" si="0"/>
        <v>45398</v>
      </c>
      <c r="K20" s="90">
        <f t="shared" si="0"/>
        <v>45413</v>
      </c>
      <c r="L20" s="90">
        <f t="shared" si="0"/>
        <v>45428</v>
      </c>
      <c r="M20" s="90">
        <f t="shared" si="0"/>
        <v>45428</v>
      </c>
      <c r="N20" s="90">
        <f t="shared" si="0"/>
        <v>45443</v>
      </c>
      <c r="O20" s="90">
        <f t="shared" si="0"/>
        <v>45458</v>
      </c>
    </row>
    <row r="21" spans="1:15" ht="30" customHeight="1" thickBot="1" x14ac:dyDescent="0.3">
      <c r="A21" s="18" t="s">
        <v>89</v>
      </c>
      <c r="B21" s="172"/>
      <c r="C21"/>
      <c r="D21" s="73"/>
      <c r="I21"/>
    </row>
    <row r="22" spans="1:15" ht="30" customHeight="1" thickBot="1" x14ac:dyDescent="0.3">
      <c r="A22" s="18" t="s">
        <v>89</v>
      </c>
      <c r="B22" s="172"/>
      <c r="C22"/>
      <c r="D22" s="73"/>
      <c r="I22"/>
    </row>
    <row r="23" spans="1:15" ht="30" customHeight="1" thickBot="1" x14ac:dyDescent="0.3">
      <c r="A23" s="18" t="s">
        <v>89</v>
      </c>
      <c r="B23" s="172"/>
      <c r="C23"/>
      <c r="D23" s="73"/>
      <c r="I23"/>
    </row>
    <row r="24" spans="1:15" ht="30" customHeight="1" thickBot="1" x14ac:dyDescent="0.3">
      <c r="A24" s="18" t="s">
        <v>89</v>
      </c>
      <c r="B24" s="172"/>
      <c r="C24"/>
      <c r="D24" s="73"/>
      <c r="I24"/>
    </row>
    <row r="25" spans="1:15" ht="30" customHeight="1" thickBot="1" x14ac:dyDescent="0.3">
      <c r="A25" s="18" t="s">
        <v>89</v>
      </c>
      <c r="B25" s="172"/>
      <c r="C25"/>
      <c r="D25" s="73"/>
      <c r="I25"/>
    </row>
    <row r="26" spans="1:15" ht="30" customHeight="1" thickBot="1" x14ac:dyDescent="0.3">
      <c r="A26" s="18" t="s">
        <v>89</v>
      </c>
      <c r="B26" s="172"/>
      <c r="C26"/>
      <c r="D26" s="73"/>
      <c r="I26"/>
    </row>
    <row r="27" spans="1:15" ht="30" customHeight="1" thickBot="1" x14ac:dyDescent="0.3">
      <c r="A27" s="18" t="s">
        <v>89</v>
      </c>
      <c r="B27" s="172"/>
      <c r="C27"/>
      <c r="D27" s="73"/>
      <c r="I27"/>
    </row>
    <row r="28" spans="1:15" ht="30" customHeight="1" thickBot="1" x14ac:dyDescent="0.3">
      <c r="A28" s="18" t="s">
        <v>89</v>
      </c>
      <c r="B28" s="172"/>
      <c r="C28"/>
      <c r="D28" s="73"/>
      <c r="I28"/>
    </row>
    <row r="29" spans="1:15" ht="30" customHeight="1" thickBot="1" x14ac:dyDescent="0.3">
      <c r="A29" s="18" t="s">
        <v>89</v>
      </c>
      <c r="B29" s="172"/>
      <c r="C29"/>
      <c r="D29" s="73"/>
      <c r="I29"/>
    </row>
    <row r="30" spans="1:15" ht="30" customHeight="1" thickBot="1" x14ac:dyDescent="0.3">
      <c r="A30" s="18" t="s">
        <v>89</v>
      </c>
      <c r="B30" s="172"/>
      <c r="C30"/>
      <c r="D30" s="73"/>
      <c r="I30"/>
    </row>
    <row r="31" spans="1:15" x14ac:dyDescent="0.25">
      <c r="A31"/>
      <c r="B31"/>
      <c r="C31"/>
      <c r="D31" s="73"/>
    </row>
  </sheetData>
  <sheetProtection algorithmName="SHA-512" hashValue="q/Y83KXn+sylRc83YJFMsqQYTqScJ2vrZUj+69CA2UQDoJ4IXlfn8BwM1Vu528RUSRuqavDSuGfw9SzjE9CBcA==" saltValue="0iiPIE9jdAIYhy2hEksIUQ==" spinCount="100000" sheet="1" objects="1" scenarios="1"/>
  <mergeCells count="16">
    <mergeCell ref="J11:L11"/>
    <mergeCell ref="J12:L12"/>
    <mergeCell ref="A4:A5"/>
    <mergeCell ref="E4:E5"/>
    <mergeCell ref="F4:F5"/>
    <mergeCell ref="G4:G5"/>
    <mergeCell ref="H4:H5"/>
    <mergeCell ref="I4:I5"/>
    <mergeCell ref="J4:J5"/>
    <mergeCell ref="K4:K5"/>
    <mergeCell ref="L4:L5"/>
    <mergeCell ref="B1:B5"/>
    <mergeCell ref="F2:F3"/>
    <mergeCell ref="H2:H3"/>
    <mergeCell ref="J2:J3"/>
    <mergeCell ref="L2:L3"/>
  </mergeCells>
  <conditionalFormatting sqref="H9">
    <cfRule type="containsText" dxfId="161" priority="4" operator="containsText" text="Difícil">
      <formula>NOT(ISERROR(SEARCH("Difícil",H9)))</formula>
    </cfRule>
    <cfRule type="containsText" dxfId="160" priority="5" operator="containsText" text="Médio">
      <formula>NOT(ISERROR(SEARCH("Médio",H9)))</formula>
    </cfRule>
    <cfRule type="containsText" dxfId="159" priority="6" operator="containsText" text="Facíl">
      <formula>NOT(ISERROR(SEARCH("Facíl",H9)))</formula>
    </cfRule>
  </conditionalFormatting>
  <conditionalFormatting sqref="H14">
    <cfRule type="containsText" dxfId="158" priority="1" operator="containsText" text="Difícil">
      <formula>NOT(ISERROR(SEARCH("Difícil",H14)))</formula>
    </cfRule>
    <cfRule type="containsText" dxfId="157" priority="2" operator="containsText" text="Médio">
      <formula>NOT(ISERROR(SEARCH("Médio",H14)))</formula>
    </cfRule>
    <cfRule type="containsText" dxfId="156" priority="3" operator="containsText" text="Facíl">
      <formula>NOT(ISERROR(SEARCH("Facíl",H14)))</formula>
    </cfRule>
  </conditionalFormatting>
  <hyperlinks>
    <hyperlink ref="F14" r:id="rId1" tooltip="Site de Simulado" xr:uid="{00000000-0004-0000-0800-000000000000}"/>
    <hyperlink ref="H14:H15" r:id="rId2" tooltip="Pagina de Pesquisa do Google" display="Google" xr:uid="{00000000-0004-0000-0800-000001000000}"/>
    <hyperlink ref="J14:J15" r:id="rId3" tooltip="Pagina do Youtube " display="Youtube" xr:uid="{00000000-0004-0000-0800-000002000000}"/>
    <hyperlink ref="L7" location="Conteudo!A1" display="◄ Voltar" xr:uid="{00000000-0004-0000-0800-000003000000}"/>
  </hyperlinks>
  <pageMargins left="0.511811024" right="0.511811024" top="0.78740157499999996" bottom="0.78740157499999996" header="0.31496062000000002" footer="0.31496062000000002"/>
  <drawing r:id="rId4"/>
  <legacyDrawing r:id="rId5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O31"/>
  <sheetViews>
    <sheetView showGridLines="0" showRowColHeaders="0" workbookViewId="0">
      <selection activeCell="B6" sqref="B6:B30"/>
    </sheetView>
  </sheetViews>
  <sheetFormatPr defaultRowHeight="15" x14ac:dyDescent="0.25"/>
  <cols>
    <col min="1" max="1" width="3.140625" style="78" customWidth="1"/>
    <col min="2" max="2" width="42" style="78" customWidth="1"/>
    <col min="3" max="4" width="0.85546875" style="78" customWidth="1"/>
    <col min="5" max="5" width="1.5703125" style="78" customWidth="1"/>
    <col min="6" max="6" width="14.7109375" style="78" customWidth="1"/>
    <col min="7" max="7" width="14.7109375" style="78" hidden="1" customWidth="1"/>
    <col min="8" max="8" width="14.7109375" style="78" customWidth="1"/>
    <col min="9" max="9" width="14.7109375" style="78" hidden="1" customWidth="1"/>
    <col min="10" max="10" width="14.7109375" style="78" customWidth="1"/>
    <col min="11" max="11" width="14.7109375" style="78" hidden="1" customWidth="1"/>
    <col min="12" max="16" width="14.7109375" style="78" customWidth="1"/>
    <col min="17" max="16384" width="9.140625" style="78"/>
  </cols>
  <sheetData>
    <row r="1" spans="1:12" ht="8.25" customHeight="1" thickBot="1" x14ac:dyDescent="0.3">
      <c r="A1" s="73"/>
      <c r="B1" s="234" t="str">
        <f>VLOOKUP(A4,Começo!A:C,3,0)</f>
        <v>Quimíca</v>
      </c>
      <c r="C1" s="73"/>
      <c r="D1" s="73"/>
    </row>
    <row r="2" spans="1:12" ht="15.75" customHeight="1" thickBot="1" x14ac:dyDescent="0.3">
      <c r="A2" s="73"/>
      <c r="B2" s="234"/>
      <c r="C2" s="73"/>
      <c r="D2" s="73"/>
      <c r="F2" s="231" t="s">
        <v>488</v>
      </c>
      <c r="G2" s="85"/>
      <c r="H2" s="237" t="s">
        <v>489</v>
      </c>
      <c r="I2" s="86"/>
      <c r="J2" s="237" t="s">
        <v>85</v>
      </c>
      <c r="K2" s="86"/>
      <c r="L2" s="231" t="s">
        <v>490</v>
      </c>
    </row>
    <row r="3" spans="1:12" ht="15.75" customHeight="1" thickBot="1" x14ac:dyDescent="0.3">
      <c r="A3" s="73"/>
      <c r="B3" s="234"/>
      <c r="C3" s="73"/>
      <c r="D3" s="73"/>
      <c r="F3" s="231"/>
      <c r="G3" s="85"/>
      <c r="H3" s="237"/>
      <c r="I3" s="86"/>
      <c r="J3" s="237"/>
      <c r="K3" s="86"/>
      <c r="L3" s="231"/>
    </row>
    <row r="4" spans="1:12" ht="15.75" customHeight="1" thickBot="1" x14ac:dyDescent="0.3">
      <c r="A4" s="230">
        <v>5</v>
      </c>
      <c r="B4" s="234"/>
      <c r="C4" s="74"/>
      <c r="D4" s="74"/>
      <c r="E4" s="233">
        <v>1</v>
      </c>
      <c r="F4" s="232">
        <f>INDEX(Conteudo!A:R,17,5)</f>
        <v>45367</v>
      </c>
      <c r="G4" s="238">
        <v>1</v>
      </c>
      <c r="H4" s="239">
        <f>INDEX(Conteudo!A:J,17,6)</f>
        <v>20</v>
      </c>
      <c r="I4" s="236">
        <v>1</v>
      </c>
      <c r="J4" s="239">
        <f>INDEX(Conteudo!A:J,17,7)</f>
        <v>12</v>
      </c>
      <c r="K4" s="236">
        <v>1</v>
      </c>
      <c r="L4" s="235">
        <f>INDEX(Conteudo!A:J,17,8)</f>
        <v>0.6</v>
      </c>
    </row>
    <row r="5" spans="1:12" ht="15.75" customHeight="1" thickBot="1" x14ac:dyDescent="0.3">
      <c r="A5" s="230"/>
      <c r="B5" s="234"/>
      <c r="C5" s="74"/>
      <c r="D5" s="74"/>
      <c r="E5" s="233"/>
      <c r="F5" s="232"/>
      <c r="G5" s="238"/>
      <c r="H5" s="239"/>
      <c r="I5" s="236"/>
      <c r="J5" s="239"/>
      <c r="K5" s="236"/>
      <c r="L5" s="235"/>
    </row>
    <row r="6" spans="1:12" ht="30" customHeight="1" thickBot="1" x14ac:dyDescent="0.3">
      <c r="A6" s="18" t="s">
        <v>89</v>
      </c>
      <c r="B6" s="171"/>
      <c r="C6"/>
      <c r="D6" s="73"/>
    </row>
    <row r="7" spans="1:12" ht="30" customHeight="1" thickBot="1" x14ac:dyDescent="0.3">
      <c r="A7" s="18" t="s">
        <v>89</v>
      </c>
      <c r="B7" s="172"/>
      <c r="C7" s="61"/>
      <c r="D7" s="73"/>
      <c r="F7" s="80" t="s">
        <v>79</v>
      </c>
      <c r="G7" s="79"/>
      <c r="H7" s="81">
        <f>IF(Começo!D9="","",INDEX(Começo!A:E,9,4))</f>
        <v>45334</v>
      </c>
      <c r="I7" s="75"/>
      <c r="L7" s="98" t="s">
        <v>493</v>
      </c>
    </row>
    <row r="8" spans="1:12" ht="30" customHeight="1" thickBot="1" x14ac:dyDescent="0.3">
      <c r="A8" s="18" t="s">
        <v>89</v>
      </c>
      <c r="B8" s="172"/>
      <c r="C8" s="61"/>
      <c r="D8" s="73"/>
      <c r="F8" s="80" t="s">
        <v>39</v>
      </c>
      <c r="G8" s="79"/>
      <c r="H8" s="87" t="str">
        <f>IF(Começo!D10="","",INDEX(Começo!A:E,10,4))</f>
        <v>Perito Criminal</v>
      </c>
      <c r="I8" s="76"/>
    </row>
    <row r="9" spans="1:12" ht="30" customHeight="1" thickBot="1" x14ac:dyDescent="0.3">
      <c r="A9" s="18" t="s">
        <v>89</v>
      </c>
      <c r="B9" s="172"/>
      <c r="C9"/>
      <c r="D9" s="73"/>
      <c r="F9" s="80" t="s">
        <v>1</v>
      </c>
      <c r="G9" s="79"/>
      <c r="H9" s="82" t="str">
        <f>INDEX(Começo!A:G,11,4)</f>
        <v>Médio</v>
      </c>
      <c r="I9" s="77"/>
    </row>
    <row r="10" spans="1:12" ht="30" customHeight="1" thickBot="1" x14ac:dyDescent="0.3">
      <c r="A10" s="18" t="s">
        <v>89</v>
      </c>
      <c r="B10" s="172"/>
      <c r="C10"/>
      <c r="D10" s="73"/>
      <c r="I10"/>
    </row>
    <row r="11" spans="1:12" ht="30" customHeight="1" thickBot="1" x14ac:dyDescent="0.3">
      <c r="A11" s="18" t="s">
        <v>89</v>
      </c>
      <c r="B11" s="172"/>
      <c r="C11"/>
      <c r="D11" s="73"/>
      <c r="F11" s="83" t="s">
        <v>491</v>
      </c>
      <c r="I11"/>
      <c r="J11" s="240" t="s">
        <v>478</v>
      </c>
      <c r="K11" s="241"/>
      <c r="L11" s="242"/>
    </row>
    <row r="12" spans="1:12" ht="30" customHeight="1" thickBot="1" x14ac:dyDescent="0.3">
      <c r="A12" s="18" t="s">
        <v>89</v>
      </c>
      <c r="B12" s="172"/>
      <c r="C12"/>
      <c r="D12" s="73"/>
      <c r="F12" s="84">
        <f>INDEX(Começo!A:J,9,10)</f>
        <v>271</v>
      </c>
      <c r="I12"/>
      <c r="J12" s="243" t="str">
        <f>INDEX(Começo!A:K,18,11)</f>
        <v>Razoavel</v>
      </c>
      <c r="K12" s="244"/>
      <c r="L12" s="245"/>
    </row>
    <row r="13" spans="1:12" ht="30" customHeight="1" thickBot="1" x14ac:dyDescent="0.3">
      <c r="A13" s="18" t="s">
        <v>89</v>
      </c>
      <c r="B13" s="172"/>
      <c r="C13"/>
      <c r="D13" s="73"/>
      <c r="I13"/>
    </row>
    <row r="14" spans="1:12" ht="30" customHeight="1" thickBot="1" x14ac:dyDescent="0.3">
      <c r="A14" s="18" t="s">
        <v>89</v>
      </c>
      <c r="B14" s="172"/>
      <c r="C14"/>
      <c r="D14" s="73"/>
      <c r="F14" s="92" t="s">
        <v>482</v>
      </c>
      <c r="H14" s="94" t="s">
        <v>86</v>
      </c>
      <c r="I14"/>
      <c r="J14" s="95" t="s">
        <v>87</v>
      </c>
    </row>
    <row r="15" spans="1:12" ht="30" customHeight="1" thickBot="1" x14ac:dyDescent="0.3">
      <c r="A15" s="18" t="s">
        <v>89</v>
      </c>
      <c r="B15" s="172"/>
      <c r="C15"/>
      <c r="D15" s="73"/>
      <c r="H15" s="93"/>
      <c r="I15"/>
      <c r="J15" s="95"/>
    </row>
    <row r="16" spans="1:12" ht="30" customHeight="1" thickBot="1" x14ac:dyDescent="0.3">
      <c r="A16" s="18" t="s">
        <v>89</v>
      </c>
      <c r="B16" s="172"/>
      <c r="C16"/>
      <c r="D16" s="73"/>
      <c r="I16"/>
    </row>
    <row r="17" spans="1:15" ht="30" customHeight="1" thickBot="1" x14ac:dyDescent="0.3">
      <c r="A17" s="18" t="s">
        <v>89</v>
      </c>
      <c r="B17" s="172"/>
      <c r="C17"/>
      <c r="D17" s="73"/>
      <c r="F17" s="89">
        <v>1</v>
      </c>
      <c r="G17" s="89"/>
      <c r="H17" s="89">
        <v>7</v>
      </c>
      <c r="I17" s="89">
        <v>15</v>
      </c>
      <c r="J17" s="89">
        <v>30</v>
      </c>
      <c r="K17" s="89">
        <v>45</v>
      </c>
      <c r="L17" s="89">
        <v>60</v>
      </c>
      <c r="M17" s="89">
        <v>60</v>
      </c>
      <c r="N17" s="89">
        <v>75</v>
      </c>
      <c r="O17" s="89">
        <v>90</v>
      </c>
    </row>
    <row r="18" spans="1:15" ht="30" customHeight="1" thickBot="1" x14ac:dyDescent="0.3">
      <c r="A18" s="18" t="s">
        <v>89</v>
      </c>
      <c r="B18" s="172"/>
      <c r="C18"/>
      <c r="D18" s="73"/>
      <c r="F18" s="88" t="s">
        <v>484</v>
      </c>
      <c r="G18" s="88"/>
      <c r="H18" s="88" t="s">
        <v>485</v>
      </c>
      <c r="I18" s="88" t="s">
        <v>486</v>
      </c>
      <c r="J18" s="88" t="s">
        <v>100</v>
      </c>
      <c r="K18" s="88" t="s">
        <v>487</v>
      </c>
      <c r="L18" s="88" t="s">
        <v>137</v>
      </c>
      <c r="M18" s="88" t="s">
        <v>137</v>
      </c>
      <c r="N18" s="88" t="s">
        <v>138</v>
      </c>
      <c r="O18" s="88" t="s">
        <v>140</v>
      </c>
    </row>
    <row r="19" spans="1:15" ht="30" customHeight="1" thickBot="1" x14ac:dyDescent="0.3">
      <c r="A19" s="18" t="s">
        <v>89</v>
      </c>
      <c r="B19" s="172"/>
      <c r="C19"/>
      <c r="D19" s="73"/>
      <c r="F19" s="89" t="s">
        <v>95</v>
      </c>
      <c r="G19" s="89"/>
      <c r="H19" s="89" t="s">
        <v>96</v>
      </c>
      <c r="I19" s="89" t="s">
        <v>97</v>
      </c>
      <c r="J19" s="89" t="s">
        <v>98</v>
      </c>
      <c r="K19" s="89" t="s">
        <v>136</v>
      </c>
      <c r="L19" s="89" t="s">
        <v>135</v>
      </c>
      <c r="M19" s="89" t="s">
        <v>135</v>
      </c>
      <c r="N19" s="89" t="s">
        <v>139</v>
      </c>
      <c r="O19" s="89" t="s">
        <v>141</v>
      </c>
    </row>
    <row r="20" spans="1:15" ht="30" customHeight="1" thickBot="1" x14ac:dyDescent="0.3">
      <c r="A20" s="18" t="s">
        <v>89</v>
      </c>
      <c r="B20" s="172"/>
      <c r="C20"/>
      <c r="D20" s="73"/>
      <c r="F20" s="90">
        <f>SUM(INDEX(Conteudo!A:R,17,5),1)</f>
        <v>45368</v>
      </c>
      <c r="G20" s="91"/>
      <c r="H20" s="90">
        <f>SUM($F$20,H17)</f>
        <v>45375</v>
      </c>
      <c r="I20" s="90">
        <f t="shared" ref="I20:O20" si="0">SUM($F$20,I17)</f>
        <v>45383</v>
      </c>
      <c r="J20" s="90">
        <f t="shared" si="0"/>
        <v>45398</v>
      </c>
      <c r="K20" s="90">
        <f t="shared" si="0"/>
        <v>45413</v>
      </c>
      <c r="L20" s="90">
        <f t="shared" si="0"/>
        <v>45428</v>
      </c>
      <c r="M20" s="90">
        <f t="shared" si="0"/>
        <v>45428</v>
      </c>
      <c r="N20" s="90">
        <f t="shared" si="0"/>
        <v>45443</v>
      </c>
      <c r="O20" s="90">
        <f t="shared" si="0"/>
        <v>45458</v>
      </c>
    </row>
    <row r="21" spans="1:15" ht="30" customHeight="1" thickBot="1" x14ac:dyDescent="0.3">
      <c r="A21" s="18" t="s">
        <v>89</v>
      </c>
      <c r="B21" s="172"/>
      <c r="C21"/>
      <c r="D21" s="73"/>
      <c r="I21"/>
    </row>
    <row r="22" spans="1:15" ht="30" customHeight="1" thickBot="1" x14ac:dyDescent="0.3">
      <c r="A22" s="18" t="s">
        <v>89</v>
      </c>
      <c r="B22" s="172"/>
      <c r="C22"/>
      <c r="D22" s="73"/>
      <c r="I22"/>
    </row>
    <row r="23" spans="1:15" ht="30" customHeight="1" thickBot="1" x14ac:dyDescent="0.3">
      <c r="A23" s="18" t="s">
        <v>89</v>
      </c>
      <c r="B23" s="172"/>
      <c r="C23"/>
      <c r="D23" s="73"/>
      <c r="I23"/>
    </row>
    <row r="24" spans="1:15" ht="30" customHeight="1" thickBot="1" x14ac:dyDescent="0.3">
      <c r="A24" s="18" t="s">
        <v>89</v>
      </c>
      <c r="B24" s="172"/>
      <c r="C24"/>
      <c r="D24" s="73"/>
      <c r="I24"/>
    </row>
    <row r="25" spans="1:15" ht="30" customHeight="1" thickBot="1" x14ac:dyDescent="0.3">
      <c r="A25" s="18" t="s">
        <v>89</v>
      </c>
      <c r="B25" s="172"/>
      <c r="C25"/>
      <c r="D25" s="73"/>
      <c r="I25"/>
    </row>
    <row r="26" spans="1:15" ht="30" customHeight="1" thickBot="1" x14ac:dyDescent="0.3">
      <c r="A26" s="18" t="s">
        <v>89</v>
      </c>
      <c r="B26" s="172"/>
      <c r="C26"/>
      <c r="D26" s="73"/>
      <c r="I26"/>
    </row>
    <row r="27" spans="1:15" ht="30" customHeight="1" thickBot="1" x14ac:dyDescent="0.3">
      <c r="A27" s="18" t="s">
        <v>89</v>
      </c>
      <c r="B27" s="172"/>
      <c r="C27"/>
      <c r="D27" s="73"/>
      <c r="I27"/>
    </row>
    <row r="28" spans="1:15" ht="30" customHeight="1" thickBot="1" x14ac:dyDescent="0.3">
      <c r="A28" s="18" t="s">
        <v>89</v>
      </c>
      <c r="B28" s="172"/>
      <c r="C28"/>
      <c r="D28" s="73"/>
      <c r="I28"/>
    </row>
    <row r="29" spans="1:15" ht="30" customHeight="1" thickBot="1" x14ac:dyDescent="0.3">
      <c r="A29" s="18" t="s">
        <v>89</v>
      </c>
      <c r="B29" s="172"/>
      <c r="C29"/>
      <c r="D29" s="73"/>
      <c r="I29"/>
    </row>
    <row r="30" spans="1:15" ht="30" customHeight="1" thickBot="1" x14ac:dyDescent="0.3">
      <c r="A30" s="18" t="s">
        <v>89</v>
      </c>
      <c r="B30" s="172"/>
      <c r="C30"/>
      <c r="D30" s="73"/>
      <c r="I30"/>
    </row>
    <row r="31" spans="1:15" x14ac:dyDescent="0.25">
      <c r="A31"/>
      <c r="B31"/>
      <c r="C31"/>
      <c r="D31" s="73"/>
    </row>
  </sheetData>
  <sheetProtection algorithmName="SHA-512" hashValue="brGocTbsVOaUuhhry1oC9a/GQ2akK5bu9d/bF3QXVC1L9xru4BwPueqkvMORbwvIOpto9Zv/kTZTeNoxEeXZug==" saltValue="46r2vgQfi7Tnb6NuvojgoQ==" spinCount="100000" sheet="1" objects="1" scenarios="1"/>
  <mergeCells count="16">
    <mergeCell ref="J11:L11"/>
    <mergeCell ref="J12:L12"/>
    <mergeCell ref="A4:A5"/>
    <mergeCell ref="E4:E5"/>
    <mergeCell ref="F4:F5"/>
    <mergeCell ref="G4:G5"/>
    <mergeCell ref="H4:H5"/>
    <mergeCell ref="I4:I5"/>
    <mergeCell ref="J4:J5"/>
    <mergeCell ref="K4:K5"/>
    <mergeCell ref="L4:L5"/>
    <mergeCell ref="B1:B5"/>
    <mergeCell ref="F2:F3"/>
    <mergeCell ref="H2:H3"/>
    <mergeCell ref="J2:J3"/>
    <mergeCell ref="L2:L3"/>
  </mergeCells>
  <conditionalFormatting sqref="H9">
    <cfRule type="containsText" dxfId="155" priority="4" operator="containsText" text="Difícil">
      <formula>NOT(ISERROR(SEARCH("Difícil",H9)))</formula>
    </cfRule>
    <cfRule type="containsText" dxfId="154" priority="5" operator="containsText" text="Médio">
      <formula>NOT(ISERROR(SEARCH("Médio",H9)))</formula>
    </cfRule>
    <cfRule type="containsText" dxfId="153" priority="6" operator="containsText" text="Facíl">
      <formula>NOT(ISERROR(SEARCH("Facíl",H9)))</formula>
    </cfRule>
  </conditionalFormatting>
  <conditionalFormatting sqref="H14">
    <cfRule type="containsText" dxfId="152" priority="1" operator="containsText" text="Difícil">
      <formula>NOT(ISERROR(SEARCH("Difícil",H14)))</formula>
    </cfRule>
    <cfRule type="containsText" dxfId="151" priority="2" operator="containsText" text="Médio">
      <formula>NOT(ISERROR(SEARCH("Médio",H14)))</formula>
    </cfRule>
    <cfRule type="containsText" dxfId="150" priority="3" operator="containsText" text="Facíl">
      <formula>NOT(ISERROR(SEARCH("Facíl",H14)))</formula>
    </cfRule>
  </conditionalFormatting>
  <hyperlinks>
    <hyperlink ref="F14" r:id="rId1" tooltip="Site de Simulado" xr:uid="{00000000-0004-0000-0900-000000000000}"/>
    <hyperlink ref="H14:H15" r:id="rId2" tooltip="Pagina de Pesquisa do Google" display="Google" xr:uid="{00000000-0004-0000-0900-000001000000}"/>
    <hyperlink ref="J14:J15" r:id="rId3" tooltip="Pagina do Youtube " display="Youtube" xr:uid="{00000000-0004-0000-0900-000002000000}"/>
    <hyperlink ref="L7" location="Conteudo!A1" display="◄ Voltar" xr:uid="{00000000-0004-0000-0900-000003000000}"/>
  </hyperlinks>
  <pageMargins left="0.511811024" right="0.511811024" top="0.78740157499999996" bottom="0.78740157499999996" header="0.31496062000000002" footer="0.31496062000000002"/>
  <drawing r:id="rId4"/>
  <legacyDrawing r:id="rId5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O31"/>
  <sheetViews>
    <sheetView showGridLines="0" showRowColHeaders="0" workbookViewId="0">
      <selection activeCell="B6" sqref="B6"/>
    </sheetView>
  </sheetViews>
  <sheetFormatPr defaultRowHeight="15" x14ac:dyDescent="0.25"/>
  <cols>
    <col min="1" max="1" width="3.140625" style="78" customWidth="1"/>
    <col min="2" max="2" width="42" style="78" customWidth="1"/>
    <col min="3" max="4" width="0.85546875" style="78" customWidth="1"/>
    <col min="5" max="5" width="1.5703125" style="78" customWidth="1"/>
    <col min="6" max="6" width="14.7109375" style="78" customWidth="1"/>
    <col min="7" max="7" width="14.7109375" style="78" hidden="1" customWidth="1"/>
    <col min="8" max="8" width="14.7109375" style="78" customWidth="1"/>
    <col min="9" max="9" width="14.7109375" style="78" hidden="1" customWidth="1"/>
    <col min="10" max="10" width="14.7109375" style="78" customWidth="1"/>
    <col min="11" max="11" width="14.7109375" style="78" hidden="1" customWidth="1"/>
    <col min="12" max="16" width="14.7109375" style="78" customWidth="1"/>
    <col min="17" max="16384" width="9.140625" style="78"/>
  </cols>
  <sheetData>
    <row r="1" spans="1:12" ht="8.25" customHeight="1" thickBot="1" x14ac:dyDescent="0.3">
      <c r="A1" s="73"/>
      <c r="B1" s="234" t="str">
        <f>VLOOKUP(A4,Começo!A:C,3,0)</f>
        <v>Legislação</v>
      </c>
      <c r="C1" s="73"/>
      <c r="D1" s="73"/>
    </row>
    <row r="2" spans="1:12" ht="15.75" customHeight="1" thickBot="1" x14ac:dyDescent="0.3">
      <c r="A2" s="73"/>
      <c r="B2" s="234"/>
      <c r="C2" s="73"/>
      <c r="D2" s="73"/>
      <c r="F2" s="231" t="s">
        <v>488</v>
      </c>
      <c r="G2" s="85"/>
      <c r="H2" s="237" t="s">
        <v>489</v>
      </c>
      <c r="I2" s="86"/>
      <c r="J2" s="237" t="s">
        <v>85</v>
      </c>
      <c r="K2" s="86"/>
      <c r="L2" s="231" t="s">
        <v>490</v>
      </c>
    </row>
    <row r="3" spans="1:12" ht="15.75" customHeight="1" thickBot="1" x14ac:dyDescent="0.3">
      <c r="A3" s="73"/>
      <c r="B3" s="234"/>
      <c r="C3" s="73"/>
      <c r="D3" s="73"/>
      <c r="F3" s="231"/>
      <c r="G3" s="85"/>
      <c r="H3" s="237"/>
      <c r="I3" s="86"/>
      <c r="J3" s="237"/>
      <c r="K3" s="86"/>
      <c r="L3" s="231"/>
    </row>
    <row r="4" spans="1:12" ht="15.75" customHeight="1" thickBot="1" x14ac:dyDescent="0.3">
      <c r="A4" s="230">
        <v>6</v>
      </c>
      <c r="B4" s="234"/>
      <c r="C4" s="74"/>
      <c r="D4" s="74"/>
      <c r="E4" s="233">
        <v>1</v>
      </c>
      <c r="F4" s="232">
        <f>INDEX(Conteudo!A:R,18,5)</f>
        <v>45368</v>
      </c>
      <c r="G4" s="238">
        <v>1</v>
      </c>
      <c r="H4" s="239">
        <f>INDEX(Conteudo!A:R,18,6)</f>
        <v>13</v>
      </c>
      <c r="I4" s="236">
        <v>1</v>
      </c>
      <c r="J4" s="239">
        <f>INDEX(Conteudo!A:R,18,7)</f>
        <v>6</v>
      </c>
      <c r="K4" s="236">
        <v>1</v>
      </c>
      <c r="L4" s="235">
        <f>INDEX(Conteudo!A:R,18,8)</f>
        <v>0.46153846153846156</v>
      </c>
    </row>
    <row r="5" spans="1:12" ht="15.75" customHeight="1" thickBot="1" x14ac:dyDescent="0.3">
      <c r="A5" s="230"/>
      <c r="B5" s="234"/>
      <c r="C5" s="74"/>
      <c r="D5" s="74"/>
      <c r="E5" s="233"/>
      <c r="F5" s="232"/>
      <c r="G5" s="238"/>
      <c r="H5" s="239"/>
      <c r="I5" s="236"/>
      <c r="J5" s="239"/>
      <c r="K5" s="236"/>
      <c r="L5" s="235"/>
    </row>
    <row r="6" spans="1:12" ht="30" customHeight="1" thickBot="1" x14ac:dyDescent="0.3">
      <c r="A6" s="18" t="s">
        <v>89</v>
      </c>
      <c r="B6" s="171"/>
      <c r="C6"/>
      <c r="D6" s="73"/>
    </row>
    <row r="7" spans="1:12" ht="30" customHeight="1" thickBot="1" x14ac:dyDescent="0.3">
      <c r="A7" s="18" t="s">
        <v>89</v>
      </c>
      <c r="B7" s="172"/>
      <c r="C7" s="61"/>
      <c r="D7" s="73"/>
      <c r="F7" s="80" t="s">
        <v>79</v>
      </c>
      <c r="G7" s="79"/>
      <c r="H7" s="81">
        <f>IF(Começo!D9="","",INDEX(Começo!A:E,9,4))</f>
        <v>45334</v>
      </c>
      <c r="I7" s="75"/>
      <c r="L7" s="98" t="s">
        <v>493</v>
      </c>
    </row>
    <row r="8" spans="1:12" ht="30" customHeight="1" thickBot="1" x14ac:dyDescent="0.3">
      <c r="A8" s="18" t="s">
        <v>89</v>
      </c>
      <c r="B8" s="172"/>
      <c r="C8" s="61"/>
      <c r="D8" s="73"/>
      <c r="F8" s="80" t="s">
        <v>39</v>
      </c>
      <c r="G8" s="79"/>
      <c r="H8" s="87" t="str">
        <f>IF(Começo!D10="","",INDEX(Começo!A:E,10,4))</f>
        <v>Perito Criminal</v>
      </c>
      <c r="I8" s="76"/>
    </row>
    <row r="9" spans="1:12" ht="30" customHeight="1" thickBot="1" x14ac:dyDescent="0.3">
      <c r="A9" s="18" t="s">
        <v>89</v>
      </c>
      <c r="B9" s="172"/>
      <c r="C9"/>
      <c r="D9" s="73"/>
      <c r="F9" s="80" t="s">
        <v>1</v>
      </c>
      <c r="G9" s="79"/>
      <c r="H9" s="82" t="str">
        <f>INDEX(Começo!A:G,11,4)</f>
        <v>Médio</v>
      </c>
      <c r="I9" s="77"/>
    </row>
    <row r="10" spans="1:12" ht="30" customHeight="1" thickBot="1" x14ac:dyDescent="0.3">
      <c r="A10" s="18" t="s">
        <v>89</v>
      </c>
      <c r="B10" s="172"/>
      <c r="C10"/>
      <c r="D10" s="73"/>
      <c r="I10"/>
    </row>
    <row r="11" spans="1:12" ht="30" customHeight="1" thickBot="1" x14ac:dyDescent="0.3">
      <c r="A11" s="18" t="s">
        <v>89</v>
      </c>
      <c r="B11" s="172"/>
      <c r="C11"/>
      <c r="D11" s="73"/>
      <c r="F11" s="83" t="s">
        <v>491</v>
      </c>
      <c r="I11"/>
      <c r="J11" s="240" t="s">
        <v>478</v>
      </c>
      <c r="K11" s="241"/>
      <c r="L11" s="242"/>
    </row>
    <row r="12" spans="1:12" ht="30" customHeight="1" thickBot="1" x14ac:dyDescent="0.3">
      <c r="A12" s="18" t="s">
        <v>89</v>
      </c>
      <c r="B12" s="172"/>
      <c r="C12"/>
      <c r="D12" s="73"/>
      <c r="F12" s="84">
        <f>INDEX(Começo!A:J,9,10)</f>
        <v>271</v>
      </c>
      <c r="I12"/>
      <c r="J12" s="243" t="str">
        <f>INDEX(Começo!A:K,19,11)</f>
        <v>Excelente</v>
      </c>
      <c r="K12" s="244"/>
      <c r="L12" s="245"/>
    </row>
    <row r="13" spans="1:12" ht="30" customHeight="1" thickBot="1" x14ac:dyDescent="0.3">
      <c r="A13" s="18" t="s">
        <v>89</v>
      </c>
      <c r="B13" s="172"/>
      <c r="C13"/>
      <c r="D13" s="73"/>
      <c r="I13"/>
    </row>
    <row r="14" spans="1:12" ht="30" customHeight="1" thickBot="1" x14ac:dyDescent="0.3">
      <c r="A14" s="18" t="s">
        <v>89</v>
      </c>
      <c r="B14" s="172"/>
      <c r="C14"/>
      <c r="D14" s="73"/>
      <c r="F14" s="92" t="s">
        <v>482</v>
      </c>
      <c r="H14" s="94" t="s">
        <v>86</v>
      </c>
      <c r="I14"/>
      <c r="J14" s="95" t="s">
        <v>87</v>
      </c>
    </row>
    <row r="15" spans="1:12" ht="30" customHeight="1" thickBot="1" x14ac:dyDescent="0.3">
      <c r="A15" s="18" t="s">
        <v>89</v>
      </c>
      <c r="B15" s="172"/>
      <c r="C15"/>
      <c r="D15" s="73"/>
      <c r="H15" s="93"/>
      <c r="I15"/>
      <c r="J15" s="95"/>
    </row>
    <row r="16" spans="1:12" ht="30" customHeight="1" thickBot="1" x14ac:dyDescent="0.3">
      <c r="A16" s="18" t="s">
        <v>89</v>
      </c>
      <c r="B16" s="172"/>
      <c r="C16"/>
      <c r="D16" s="73"/>
      <c r="I16"/>
    </row>
    <row r="17" spans="1:15" ht="30" customHeight="1" thickBot="1" x14ac:dyDescent="0.3">
      <c r="A17" s="18" t="s">
        <v>89</v>
      </c>
      <c r="B17" s="172"/>
      <c r="C17"/>
      <c r="D17" s="73"/>
      <c r="F17" s="89">
        <v>1</v>
      </c>
      <c r="G17" s="89"/>
      <c r="H17" s="89">
        <v>7</v>
      </c>
      <c r="I17" s="89">
        <v>15</v>
      </c>
      <c r="J17" s="89">
        <v>30</v>
      </c>
      <c r="K17" s="89">
        <v>45</v>
      </c>
      <c r="L17" s="89">
        <v>60</v>
      </c>
      <c r="M17" s="89">
        <v>60</v>
      </c>
      <c r="N17" s="89">
        <v>75</v>
      </c>
      <c r="O17" s="89">
        <v>90</v>
      </c>
    </row>
    <row r="18" spans="1:15" ht="30" customHeight="1" thickBot="1" x14ac:dyDescent="0.3">
      <c r="A18" s="18" t="s">
        <v>89</v>
      </c>
      <c r="B18" s="172"/>
      <c r="C18"/>
      <c r="D18" s="73"/>
      <c r="F18" s="88" t="s">
        <v>484</v>
      </c>
      <c r="G18" s="88"/>
      <c r="H18" s="88" t="s">
        <v>485</v>
      </c>
      <c r="I18" s="88" t="s">
        <v>486</v>
      </c>
      <c r="J18" s="88" t="s">
        <v>100</v>
      </c>
      <c r="K18" s="88" t="s">
        <v>487</v>
      </c>
      <c r="L18" s="88" t="s">
        <v>137</v>
      </c>
      <c r="M18" s="88" t="s">
        <v>137</v>
      </c>
      <c r="N18" s="88" t="s">
        <v>138</v>
      </c>
      <c r="O18" s="88" t="s">
        <v>140</v>
      </c>
    </row>
    <row r="19" spans="1:15" ht="30" customHeight="1" thickBot="1" x14ac:dyDescent="0.3">
      <c r="A19" s="18" t="s">
        <v>89</v>
      </c>
      <c r="B19" s="172"/>
      <c r="C19"/>
      <c r="D19" s="73"/>
      <c r="F19" s="89" t="s">
        <v>95</v>
      </c>
      <c r="G19" s="89"/>
      <c r="H19" s="89" t="s">
        <v>96</v>
      </c>
      <c r="I19" s="89" t="s">
        <v>97</v>
      </c>
      <c r="J19" s="89" t="s">
        <v>98</v>
      </c>
      <c r="K19" s="89" t="s">
        <v>136</v>
      </c>
      <c r="L19" s="89" t="s">
        <v>135</v>
      </c>
      <c r="M19" s="89" t="s">
        <v>135</v>
      </c>
      <c r="N19" s="89" t="s">
        <v>139</v>
      </c>
      <c r="O19" s="89" t="s">
        <v>141</v>
      </c>
    </row>
    <row r="20" spans="1:15" ht="30" customHeight="1" thickBot="1" x14ac:dyDescent="0.3">
      <c r="A20" s="18" t="s">
        <v>89</v>
      </c>
      <c r="B20" s="172"/>
      <c r="C20"/>
      <c r="D20" s="73"/>
      <c r="F20" s="90">
        <f>SUM(INDEX(Conteudo!A:L,18,5),1)</f>
        <v>45369</v>
      </c>
      <c r="G20" s="91"/>
      <c r="H20" s="90">
        <f>SUM($F$20,H17)</f>
        <v>45376</v>
      </c>
      <c r="I20" s="90">
        <f t="shared" ref="I20:O20" si="0">SUM($F$20,I17)</f>
        <v>45384</v>
      </c>
      <c r="J20" s="90">
        <f t="shared" si="0"/>
        <v>45399</v>
      </c>
      <c r="K20" s="90">
        <f t="shared" si="0"/>
        <v>45414</v>
      </c>
      <c r="L20" s="90">
        <f t="shared" si="0"/>
        <v>45429</v>
      </c>
      <c r="M20" s="90">
        <f t="shared" si="0"/>
        <v>45429</v>
      </c>
      <c r="N20" s="90">
        <f t="shared" si="0"/>
        <v>45444</v>
      </c>
      <c r="O20" s="90">
        <f t="shared" si="0"/>
        <v>45459</v>
      </c>
    </row>
    <row r="21" spans="1:15" ht="30" customHeight="1" thickBot="1" x14ac:dyDescent="0.3">
      <c r="A21" s="18" t="s">
        <v>89</v>
      </c>
      <c r="B21" s="172"/>
      <c r="C21"/>
      <c r="D21" s="73"/>
      <c r="I21"/>
    </row>
    <row r="22" spans="1:15" ht="30" customHeight="1" thickBot="1" x14ac:dyDescent="0.3">
      <c r="A22" s="18" t="s">
        <v>89</v>
      </c>
      <c r="B22" s="172"/>
      <c r="C22"/>
      <c r="D22" s="73"/>
      <c r="I22"/>
    </row>
    <row r="23" spans="1:15" ht="30" customHeight="1" thickBot="1" x14ac:dyDescent="0.3">
      <c r="A23" s="18" t="s">
        <v>89</v>
      </c>
      <c r="B23" s="172"/>
      <c r="C23"/>
      <c r="D23" s="73"/>
      <c r="I23"/>
    </row>
    <row r="24" spans="1:15" ht="30" customHeight="1" thickBot="1" x14ac:dyDescent="0.3">
      <c r="A24" s="18" t="s">
        <v>89</v>
      </c>
      <c r="B24" s="172"/>
      <c r="C24"/>
      <c r="D24" s="73"/>
      <c r="I24"/>
    </row>
    <row r="25" spans="1:15" ht="30" customHeight="1" thickBot="1" x14ac:dyDescent="0.3">
      <c r="A25" s="18" t="s">
        <v>89</v>
      </c>
      <c r="B25" s="172"/>
      <c r="C25"/>
      <c r="D25" s="73"/>
      <c r="I25"/>
    </row>
    <row r="26" spans="1:15" ht="30" customHeight="1" thickBot="1" x14ac:dyDescent="0.3">
      <c r="A26" s="18" t="s">
        <v>89</v>
      </c>
      <c r="B26" s="172"/>
      <c r="C26"/>
      <c r="D26" s="73"/>
      <c r="I26"/>
    </row>
    <row r="27" spans="1:15" ht="30" customHeight="1" thickBot="1" x14ac:dyDescent="0.3">
      <c r="A27" s="18" t="s">
        <v>89</v>
      </c>
      <c r="B27" s="172"/>
      <c r="C27"/>
      <c r="D27" s="73"/>
      <c r="I27"/>
    </row>
    <row r="28" spans="1:15" ht="30" customHeight="1" thickBot="1" x14ac:dyDescent="0.3">
      <c r="A28" s="18" t="s">
        <v>89</v>
      </c>
      <c r="B28" s="172"/>
      <c r="C28"/>
      <c r="D28" s="73"/>
      <c r="I28"/>
    </row>
    <row r="29" spans="1:15" ht="30" customHeight="1" thickBot="1" x14ac:dyDescent="0.3">
      <c r="A29" s="18" t="s">
        <v>89</v>
      </c>
      <c r="B29" s="172"/>
      <c r="C29"/>
      <c r="D29" s="73"/>
      <c r="I29"/>
    </row>
    <row r="30" spans="1:15" ht="30" customHeight="1" thickBot="1" x14ac:dyDescent="0.3">
      <c r="A30" s="18" t="s">
        <v>89</v>
      </c>
      <c r="B30" s="172"/>
      <c r="C30"/>
      <c r="D30" s="73"/>
      <c r="I30"/>
    </row>
    <row r="31" spans="1:15" x14ac:dyDescent="0.25">
      <c r="A31"/>
      <c r="B31"/>
      <c r="C31"/>
      <c r="D31" s="73"/>
    </row>
  </sheetData>
  <sheetProtection algorithmName="SHA-512" hashValue="TrZ1cHLniXyXvpvP9wTw6+UEVs/DXqd02H0jtxr+Lc5mUMuxTFpR8BOz5jQqzflFSLfxdr1MN4uhcTflQDMBFg==" saltValue="EEa4esgqQlCaIsNyjWQx2Q==" spinCount="100000" sheet="1" objects="1" scenarios="1"/>
  <mergeCells count="16">
    <mergeCell ref="J11:L11"/>
    <mergeCell ref="J12:L12"/>
    <mergeCell ref="A4:A5"/>
    <mergeCell ref="E4:E5"/>
    <mergeCell ref="F4:F5"/>
    <mergeCell ref="G4:G5"/>
    <mergeCell ref="H4:H5"/>
    <mergeCell ref="I4:I5"/>
    <mergeCell ref="J4:J5"/>
    <mergeCell ref="K4:K5"/>
    <mergeCell ref="L4:L5"/>
    <mergeCell ref="B1:B5"/>
    <mergeCell ref="F2:F3"/>
    <mergeCell ref="H2:H3"/>
    <mergeCell ref="J2:J3"/>
    <mergeCell ref="L2:L3"/>
  </mergeCells>
  <conditionalFormatting sqref="H9">
    <cfRule type="containsText" dxfId="149" priority="4" operator="containsText" text="Difícil">
      <formula>NOT(ISERROR(SEARCH("Difícil",H9)))</formula>
    </cfRule>
    <cfRule type="containsText" dxfId="148" priority="5" operator="containsText" text="Médio">
      <formula>NOT(ISERROR(SEARCH("Médio",H9)))</formula>
    </cfRule>
    <cfRule type="containsText" dxfId="147" priority="6" operator="containsText" text="Facíl">
      <formula>NOT(ISERROR(SEARCH("Facíl",H9)))</formula>
    </cfRule>
  </conditionalFormatting>
  <conditionalFormatting sqref="H14">
    <cfRule type="containsText" dxfId="146" priority="1" operator="containsText" text="Difícil">
      <formula>NOT(ISERROR(SEARCH("Difícil",H14)))</formula>
    </cfRule>
    <cfRule type="containsText" dxfId="145" priority="2" operator="containsText" text="Médio">
      <formula>NOT(ISERROR(SEARCH("Médio",H14)))</formula>
    </cfRule>
    <cfRule type="containsText" dxfId="144" priority="3" operator="containsText" text="Facíl">
      <formula>NOT(ISERROR(SEARCH("Facíl",H14)))</formula>
    </cfRule>
  </conditionalFormatting>
  <hyperlinks>
    <hyperlink ref="F14" r:id="rId1" tooltip="Site de Simulado" xr:uid="{00000000-0004-0000-0A00-000000000000}"/>
    <hyperlink ref="H14:H15" r:id="rId2" tooltip="Pagina de Pesquisa do Google" display="Google" xr:uid="{00000000-0004-0000-0A00-000001000000}"/>
    <hyperlink ref="J14:J15" r:id="rId3" tooltip="Pagina do Youtube " display="Youtube" xr:uid="{00000000-0004-0000-0A00-000002000000}"/>
    <hyperlink ref="L7" location="Conteudo!A1" display="◄ Voltar" xr:uid="{00000000-0004-0000-0A00-000003000000}"/>
  </hyperlinks>
  <pageMargins left="0.511811024" right="0.511811024" top="0.78740157499999996" bottom="0.78740157499999996" header="0.31496062000000002" footer="0.31496062000000002"/>
  <drawing r:id="rId4"/>
  <legacyDrawing r:id="rId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O31"/>
  <sheetViews>
    <sheetView showGridLines="0" showRowColHeaders="0" workbookViewId="0">
      <selection activeCell="B6" sqref="B6:B30"/>
    </sheetView>
  </sheetViews>
  <sheetFormatPr defaultRowHeight="15" x14ac:dyDescent="0.25"/>
  <cols>
    <col min="1" max="1" width="3.140625" style="78" customWidth="1"/>
    <col min="2" max="2" width="42" style="78" customWidth="1"/>
    <col min="3" max="4" width="0.85546875" style="78" customWidth="1"/>
    <col min="5" max="5" width="1.5703125" style="78" customWidth="1"/>
    <col min="6" max="6" width="14.7109375" style="78" customWidth="1"/>
    <col min="7" max="7" width="14.7109375" style="78" hidden="1" customWidth="1"/>
    <col min="8" max="8" width="14.7109375" style="78" customWidth="1"/>
    <col min="9" max="9" width="14.7109375" style="78" hidden="1" customWidth="1"/>
    <col min="10" max="10" width="14.7109375" style="78" customWidth="1"/>
    <col min="11" max="11" width="14.7109375" style="78" hidden="1" customWidth="1"/>
    <col min="12" max="16" width="14.7109375" style="78" customWidth="1"/>
    <col min="17" max="16384" width="9.140625" style="78"/>
  </cols>
  <sheetData>
    <row r="1" spans="1:12" ht="8.25" customHeight="1" thickBot="1" x14ac:dyDescent="0.3">
      <c r="A1" s="73"/>
      <c r="B1" s="234" t="str">
        <f>VLOOKUP(A4,Começo!A:C,3,0)</f>
        <v>Processo Penal</v>
      </c>
      <c r="C1" s="73"/>
      <c r="D1" s="73"/>
    </row>
    <row r="2" spans="1:12" ht="15.75" customHeight="1" thickBot="1" x14ac:dyDescent="0.3">
      <c r="A2" s="73"/>
      <c r="B2" s="234"/>
      <c r="C2" s="73"/>
      <c r="D2" s="73"/>
      <c r="F2" s="231" t="s">
        <v>488</v>
      </c>
      <c r="G2" s="85"/>
      <c r="H2" s="237" t="s">
        <v>489</v>
      </c>
      <c r="I2" s="86"/>
      <c r="J2" s="237" t="s">
        <v>85</v>
      </c>
      <c r="K2" s="86"/>
      <c r="L2" s="231" t="s">
        <v>490</v>
      </c>
    </row>
    <row r="3" spans="1:12" ht="15.75" customHeight="1" thickBot="1" x14ac:dyDescent="0.3">
      <c r="A3" s="73"/>
      <c r="B3" s="234"/>
      <c r="C3" s="73"/>
      <c r="D3" s="73"/>
      <c r="F3" s="231"/>
      <c r="G3" s="85"/>
      <c r="H3" s="237"/>
      <c r="I3" s="86"/>
      <c r="J3" s="237"/>
      <c r="K3" s="86"/>
      <c r="L3" s="231"/>
    </row>
    <row r="4" spans="1:12" ht="15.75" customHeight="1" thickBot="1" x14ac:dyDescent="0.3">
      <c r="A4" s="230">
        <v>7</v>
      </c>
      <c r="B4" s="234"/>
      <c r="C4" s="74"/>
      <c r="D4" s="74"/>
      <c r="E4" s="233">
        <v>1</v>
      </c>
      <c r="F4" s="232">
        <f>INDEX(Conteudo!A:R,19,5)</f>
        <v>45369</v>
      </c>
      <c r="G4" s="238">
        <v>1</v>
      </c>
      <c r="H4" s="239">
        <f>INDEX(Conteudo!A:R,19,6)</f>
        <v>16</v>
      </c>
      <c r="I4" s="236">
        <v>1</v>
      </c>
      <c r="J4" s="239">
        <f>INDEX(Conteudo!A:R,19,7)</f>
        <v>13</v>
      </c>
      <c r="K4" s="236">
        <v>1</v>
      </c>
      <c r="L4" s="235">
        <f>INDEX(Conteudo!A:R,19,8)</f>
        <v>0.8125</v>
      </c>
    </row>
    <row r="5" spans="1:12" ht="15.75" customHeight="1" thickBot="1" x14ac:dyDescent="0.3">
      <c r="A5" s="230"/>
      <c r="B5" s="234"/>
      <c r="C5" s="74"/>
      <c r="D5" s="74"/>
      <c r="E5" s="233"/>
      <c r="F5" s="232"/>
      <c r="G5" s="238"/>
      <c r="H5" s="239"/>
      <c r="I5" s="236"/>
      <c r="J5" s="239"/>
      <c r="K5" s="236"/>
      <c r="L5" s="235"/>
    </row>
    <row r="6" spans="1:12" ht="30" customHeight="1" thickBot="1" x14ac:dyDescent="0.3">
      <c r="A6" s="18" t="s">
        <v>89</v>
      </c>
      <c r="B6" s="171"/>
      <c r="C6"/>
      <c r="D6" s="73"/>
    </row>
    <row r="7" spans="1:12" ht="30" customHeight="1" thickBot="1" x14ac:dyDescent="0.3">
      <c r="A7" s="18" t="s">
        <v>89</v>
      </c>
      <c r="B7" s="172"/>
      <c r="C7" s="61"/>
      <c r="D7" s="73"/>
      <c r="F7" s="80" t="s">
        <v>79</v>
      </c>
      <c r="G7" s="79"/>
      <c r="H7" s="81">
        <f>IF(Começo!D9="","",INDEX(Começo!A:E,9,4))</f>
        <v>45334</v>
      </c>
      <c r="I7" s="75"/>
      <c r="L7" s="98" t="s">
        <v>493</v>
      </c>
    </row>
    <row r="8" spans="1:12" ht="30" customHeight="1" thickBot="1" x14ac:dyDescent="0.3">
      <c r="A8" s="18" t="s">
        <v>89</v>
      </c>
      <c r="B8" s="172"/>
      <c r="C8" s="61"/>
      <c r="D8" s="73"/>
      <c r="F8" s="80" t="s">
        <v>39</v>
      </c>
      <c r="G8" s="79"/>
      <c r="H8" s="87" t="str">
        <f>IF(Começo!D10="","",INDEX(Começo!A:E,10,4))</f>
        <v>Perito Criminal</v>
      </c>
      <c r="I8" s="76"/>
    </row>
    <row r="9" spans="1:12" ht="30" customHeight="1" thickBot="1" x14ac:dyDescent="0.3">
      <c r="A9" s="18" t="s">
        <v>89</v>
      </c>
      <c r="B9" s="172"/>
      <c r="C9"/>
      <c r="D9" s="73"/>
      <c r="F9" s="80" t="s">
        <v>1</v>
      </c>
      <c r="G9" s="79"/>
      <c r="H9" s="82" t="str">
        <f>INDEX(Começo!A:G,11,4)</f>
        <v>Médio</v>
      </c>
      <c r="I9" s="77"/>
    </row>
    <row r="10" spans="1:12" ht="30" customHeight="1" thickBot="1" x14ac:dyDescent="0.3">
      <c r="A10" s="18" t="s">
        <v>89</v>
      </c>
      <c r="B10" s="172"/>
      <c r="C10"/>
      <c r="D10" s="73"/>
      <c r="I10"/>
    </row>
    <row r="11" spans="1:12" ht="30" customHeight="1" thickBot="1" x14ac:dyDescent="0.3">
      <c r="A11" s="18" t="s">
        <v>89</v>
      </c>
      <c r="B11" s="172"/>
      <c r="C11"/>
      <c r="D11" s="73"/>
      <c r="F11" s="83" t="s">
        <v>491</v>
      </c>
      <c r="I11"/>
      <c r="J11" s="240" t="s">
        <v>478</v>
      </c>
      <c r="K11" s="241"/>
      <c r="L11" s="242"/>
    </row>
    <row r="12" spans="1:12" ht="30" customHeight="1" thickBot="1" x14ac:dyDescent="0.3">
      <c r="A12" s="18" t="s">
        <v>89</v>
      </c>
      <c r="B12" s="172"/>
      <c r="C12"/>
      <c r="D12" s="73"/>
      <c r="F12" s="84">
        <f>INDEX(Começo!A:J,9,10)</f>
        <v>271</v>
      </c>
      <c r="I12"/>
      <c r="J12" s="243" t="str">
        <f>INDEX(Começo!A:K,20,11)</f>
        <v>Bom</v>
      </c>
      <c r="K12" s="244"/>
      <c r="L12" s="245"/>
    </row>
    <row r="13" spans="1:12" ht="30" customHeight="1" thickBot="1" x14ac:dyDescent="0.3">
      <c r="A13" s="18" t="s">
        <v>89</v>
      </c>
      <c r="B13" s="172"/>
      <c r="C13"/>
      <c r="D13" s="73"/>
      <c r="I13"/>
    </row>
    <row r="14" spans="1:12" ht="30" customHeight="1" thickBot="1" x14ac:dyDescent="0.3">
      <c r="A14" s="18" t="s">
        <v>89</v>
      </c>
      <c r="B14" s="172"/>
      <c r="C14"/>
      <c r="D14" s="73"/>
      <c r="F14" s="92" t="s">
        <v>482</v>
      </c>
      <c r="H14" s="94" t="s">
        <v>86</v>
      </c>
      <c r="I14"/>
      <c r="J14" s="95" t="s">
        <v>87</v>
      </c>
    </row>
    <row r="15" spans="1:12" ht="30" customHeight="1" thickBot="1" x14ac:dyDescent="0.3">
      <c r="A15" s="18" t="s">
        <v>89</v>
      </c>
      <c r="B15" s="172"/>
      <c r="C15"/>
      <c r="D15" s="73"/>
      <c r="H15" s="93"/>
      <c r="I15"/>
      <c r="J15" s="95"/>
    </row>
    <row r="16" spans="1:12" ht="30" customHeight="1" thickBot="1" x14ac:dyDescent="0.3">
      <c r="A16" s="18" t="s">
        <v>89</v>
      </c>
      <c r="B16" s="172"/>
      <c r="C16"/>
      <c r="D16" s="73"/>
      <c r="I16"/>
    </row>
    <row r="17" spans="1:15" ht="30" customHeight="1" thickBot="1" x14ac:dyDescent="0.3">
      <c r="A17" s="18" t="s">
        <v>89</v>
      </c>
      <c r="B17" s="172"/>
      <c r="C17"/>
      <c r="D17" s="73"/>
      <c r="F17" s="89">
        <v>1</v>
      </c>
      <c r="G17" s="89"/>
      <c r="H17" s="89">
        <v>7</v>
      </c>
      <c r="I17" s="89">
        <v>15</v>
      </c>
      <c r="J17" s="89">
        <v>30</v>
      </c>
      <c r="K17" s="89">
        <v>45</v>
      </c>
      <c r="L17" s="89">
        <v>60</v>
      </c>
      <c r="M17" s="89">
        <v>60</v>
      </c>
      <c r="N17" s="89">
        <v>75</v>
      </c>
      <c r="O17" s="89">
        <v>90</v>
      </c>
    </row>
    <row r="18" spans="1:15" ht="30" customHeight="1" thickBot="1" x14ac:dyDescent="0.3">
      <c r="A18" s="18" t="s">
        <v>89</v>
      </c>
      <c r="B18" s="172"/>
      <c r="C18"/>
      <c r="D18" s="73"/>
      <c r="F18" s="88" t="s">
        <v>484</v>
      </c>
      <c r="G18" s="88"/>
      <c r="H18" s="88" t="s">
        <v>485</v>
      </c>
      <c r="I18" s="88" t="s">
        <v>486</v>
      </c>
      <c r="J18" s="88" t="s">
        <v>100</v>
      </c>
      <c r="K18" s="88" t="s">
        <v>487</v>
      </c>
      <c r="L18" s="88" t="s">
        <v>137</v>
      </c>
      <c r="M18" s="88" t="s">
        <v>137</v>
      </c>
      <c r="N18" s="88" t="s">
        <v>138</v>
      </c>
      <c r="O18" s="88" t="s">
        <v>140</v>
      </c>
    </row>
    <row r="19" spans="1:15" ht="30" customHeight="1" thickBot="1" x14ac:dyDescent="0.3">
      <c r="A19" s="18" t="s">
        <v>89</v>
      </c>
      <c r="B19" s="172"/>
      <c r="C19"/>
      <c r="D19" s="73"/>
      <c r="F19" s="89" t="s">
        <v>95</v>
      </c>
      <c r="G19" s="89"/>
      <c r="H19" s="89" t="s">
        <v>96</v>
      </c>
      <c r="I19" s="89" t="s">
        <v>97</v>
      </c>
      <c r="J19" s="89" t="s">
        <v>98</v>
      </c>
      <c r="K19" s="89" t="s">
        <v>136</v>
      </c>
      <c r="L19" s="89" t="s">
        <v>135</v>
      </c>
      <c r="M19" s="89" t="s">
        <v>135</v>
      </c>
      <c r="N19" s="89" t="s">
        <v>139</v>
      </c>
      <c r="O19" s="89" t="s">
        <v>141</v>
      </c>
    </row>
    <row r="20" spans="1:15" ht="30" customHeight="1" thickBot="1" x14ac:dyDescent="0.3">
      <c r="A20" s="18" t="s">
        <v>89</v>
      </c>
      <c r="B20" s="172"/>
      <c r="C20"/>
      <c r="D20" s="73"/>
      <c r="F20" s="90">
        <f>SUM(INDEX(Conteudo!A:L,19,5),1)</f>
        <v>45370</v>
      </c>
      <c r="G20" s="91"/>
      <c r="H20" s="90">
        <f>SUM($F$20,H17)</f>
        <v>45377</v>
      </c>
      <c r="I20" s="90">
        <f t="shared" ref="I20:O20" si="0">SUM($F$20,I17)</f>
        <v>45385</v>
      </c>
      <c r="J20" s="90">
        <f t="shared" si="0"/>
        <v>45400</v>
      </c>
      <c r="K20" s="90">
        <f t="shared" si="0"/>
        <v>45415</v>
      </c>
      <c r="L20" s="90">
        <f t="shared" si="0"/>
        <v>45430</v>
      </c>
      <c r="M20" s="90">
        <f t="shared" si="0"/>
        <v>45430</v>
      </c>
      <c r="N20" s="90">
        <f t="shared" si="0"/>
        <v>45445</v>
      </c>
      <c r="O20" s="90">
        <f t="shared" si="0"/>
        <v>45460</v>
      </c>
    </row>
    <row r="21" spans="1:15" ht="30" customHeight="1" thickBot="1" x14ac:dyDescent="0.3">
      <c r="A21" s="18" t="s">
        <v>89</v>
      </c>
      <c r="B21" s="172"/>
      <c r="C21"/>
      <c r="D21" s="73"/>
      <c r="I21"/>
    </row>
    <row r="22" spans="1:15" ht="30" customHeight="1" thickBot="1" x14ac:dyDescent="0.3">
      <c r="A22" s="18" t="s">
        <v>89</v>
      </c>
      <c r="B22" s="172"/>
      <c r="C22"/>
      <c r="D22" s="73"/>
      <c r="I22"/>
    </row>
    <row r="23" spans="1:15" ht="30" customHeight="1" thickBot="1" x14ac:dyDescent="0.3">
      <c r="A23" s="18" t="s">
        <v>89</v>
      </c>
      <c r="B23" s="172"/>
      <c r="C23"/>
      <c r="D23" s="73"/>
      <c r="I23"/>
    </row>
    <row r="24" spans="1:15" ht="30" customHeight="1" thickBot="1" x14ac:dyDescent="0.3">
      <c r="A24" s="18" t="s">
        <v>89</v>
      </c>
      <c r="B24" s="172"/>
      <c r="C24"/>
      <c r="D24" s="73"/>
      <c r="I24"/>
    </row>
    <row r="25" spans="1:15" ht="30" customHeight="1" thickBot="1" x14ac:dyDescent="0.3">
      <c r="A25" s="18" t="s">
        <v>89</v>
      </c>
      <c r="B25" s="172"/>
      <c r="C25"/>
      <c r="D25" s="73"/>
      <c r="I25"/>
    </row>
    <row r="26" spans="1:15" ht="30" customHeight="1" thickBot="1" x14ac:dyDescent="0.3">
      <c r="A26" s="18" t="s">
        <v>89</v>
      </c>
      <c r="B26" s="172"/>
      <c r="C26"/>
      <c r="D26" s="73"/>
      <c r="I26"/>
    </row>
    <row r="27" spans="1:15" ht="30" customHeight="1" thickBot="1" x14ac:dyDescent="0.3">
      <c r="A27" s="18" t="s">
        <v>89</v>
      </c>
      <c r="B27" s="172"/>
      <c r="C27"/>
      <c r="D27" s="73"/>
      <c r="I27"/>
    </row>
    <row r="28" spans="1:15" ht="30" customHeight="1" thickBot="1" x14ac:dyDescent="0.3">
      <c r="A28" s="18" t="s">
        <v>89</v>
      </c>
      <c r="B28" s="172"/>
      <c r="C28"/>
      <c r="D28" s="73"/>
      <c r="I28"/>
    </row>
    <row r="29" spans="1:15" ht="30" customHeight="1" thickBot="1" x14ac:dyDescent="0.3">
      <c r="A29" s="18" t="s">
        <v>89</v>
      </c>
      <c r="B29" s="172"/>
      <c r="C29"/>
      <c r="D29" s="73"/>
      <c r="I29"/>
    </row>
    <row r="30" spans="1:15" ht="30" customHeight="1" thickBot="1" x14ac:dyDescent="0.3">
      <c r="A30" s="18" t="s">
        <v>89</v>
      </c>
      <c r="B30" s="172"/>
      <c r="C30"/>
      <c r="D30" s="73"/>
      <c r="I30"/>
    </row>
    <row r="31" spans="1:15" x14ac:dyDescent="0.25">
      <c r="A31"/>
      <c r="B31"/>
      <c r="C31"/>
      <c r="D31" s="73"/>
    </row>
  </sheetData>
  <sheetProtection algorithmName="SHA-512" hashValue="NskbO9yCh5loV7e4br7ZzQQ/2Q6Q+OEH+qIFSKwQpbpkoqImZnzR9AOsKq09jsiocAICP4nlIvgrb9TAVX5hyA==" saltValue="2t5wlCoL8RnE8UX9Xu0ySQ==" spinCount="100000" sheet="1" objects="1" scenarios="1"/>
  <mergeCells count="16">
    <mergeCell ref="J11:L11"/>
    <mergeCell ref="J12:L12"/>
    <mergeCell ref="A4:A5"/>
    <mergeCell ref="E4:E5"/>
    <mergeCell ref="F4:F5"/>
    <mergeCell ref="G4:G5"/>
    <mergeCell ref="H4:H5"/>
    <mergeCell ref="I4:I5"/>
    <mergeCell ref="J4:J5"/>
    <mergeCell ref="K4:K5"/>
    <mergeCell ref="L4:L5"/>
    <mergeCell ref="B1:B5"/>
    <mergeCell ref="F2:F3"/>
    <mergeCell ref="H2:H3"/>
    <mergeCell ref="J2:J3"/>
    <mergeCell ref="L2:L3"/>
  </mergeCells>
  <conditionalFormatting sqref="H9">
    <cfRule type="containsText" dxfId="143" priority="4" operator="containsText" text="Difícil">
      <formula>NOT(ISERROR(SEARCH("Difícil",H9)))</formula>
    </cfRule>
    <cfRule type="containsText" dxfId="142" priority="5" operator="containsText" text="Médio">
      <formula>NOT(ISERROR(SEARCH("Médio",H9)))</formula>
    </cfRule>
    <cfRule type="containsText" dxfId="141" priority="6" operator="containsText" text="Facíl">
      <formula>NOT(ISERROR(SEARCH("Facíl",H9)))</formula>
    </cfRule>
  </conditionalFormatting>
  <conditionalFormatting sqref="H14">
    <cfRule type="containsText" dxfId="140" priority="1" operator="containsText" text="Difícil">
      <formula>NOT(ISERROR(SEARCH("Difícil",H14)))</formula>
    </cfRule>
    <cfRule type="containsText" dxfId="139" priority="2" operator="containsText" text="Médio">
      <formula>NOT(ISERROR(SEARCH("Médio",H14)))</formula>
    </cfRule>
    <cfRule type="containsText" dxfId="138" priority="3" operator="containsText" text="Facíl">
      <formula>NOT(ISERROR(SEARCH("Facíl",H14)))</formula>
    </cfRule>
  </conditionalFormatting>
  <hyperlinks>
    <hyperlink ref="F14" r:id="rId1" tooltip="Site de Simulado" xr:uid="{00000000-0004-0000-0B00-000000000000}"/>
    <hyperlink ref="H14:H15" r:id="rId2" tooltip="Pagina de Pesquisa do Google" display="Google" xr:uid="{00000000-0004-0000-0B00-000001000000}"/>
    <hyperlink ref="J14:J15" r:id="rId3" tooltip="Pagina do Youtube " display="Youtube" xr:uid="{00000000-0004-0000-0B00-000002000000}"/>
    <hyperlink ref="L7" location="Conteudo!A1" display="◄ Voltar" xr:uid="{00000000-0004-0000-0B00-000003000000}"/>
  </hyperlinks>
  <pageMargins left="0.511811024" right="0.511811024" top="0.78740157499999996" bottom="0.78740157499999996" header="0.31496062000000002" footer="0.31496062000000002"/>
  <drawing r:id="rId4"/>
  <legacyDrawing r:id="rId5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O31"/>
  <sheetViews>
    <sheetView showGridLines="0" showRowColHeaders="0" workbookViewId="0">
      <selection activeCell="B6" sqref="B6"/>
    </sheetView>
  </sheetViews>
  <sheetFormatPr defaultRowHeight="15" x14ac:dyDescent="0.25"/>
  <cols>
    <col min="1" max="1" width="3.140625" style="78" customWidth="1"/>
    <col min="2" max="2" width="42" style="78" customWidth="1"/>
    <col min="3" max="4" width="0.85546875" style="78" customWidth="1"/>
    <col min="5" max="5" width="1.5703125" style="78" customWidth="1"/>
    <col min="6" max="6" width="14.7109375" style="78" customWidth="1"/>
    <col min="7" max="7" width="14.7109375" style="78" hidden="1" customWidth="1"/>
    <col min="8" max="8" width="14.7109375" style="78" customWidth="1"/>
    <col min="9" max="9" width="14.7109375" style="78" hidden="1" customWidth="1"/>
    <col min="10" max="10" width="14.7109375" style="78" customWidth="1"/>
    <col min="11" max="11" width="14.7109375" style="78" hidden="1" customWidth="1"/>
    <col min="12" max="16" width="14.7109375" style="78" customWidth="1"/>
    <col min="17" max="16384" width="9.140625" style="78"/>
  </cols>
  <sheetData>
    <row r="1" spans="1:12" ht="8.25" customHeight="1" thickBot="1" x14ac:dyDescent="0.3">
      <c r="A1" s="73"/>
      <c r="B1" s="234" t="str">
        <f>VLOOKUP(A4,Começo!A:C,3,0)</f>
        <v>Direito Administrativo</v>
      </c>
      <c r="C1" s="73"/>
      <c r="D1" s="73"/>
    </row>
    <row r="2" spans="1:12" ht="15.75" customHeight="1" thickBot="1" x14ac:dyDescent="0.3">
      <c r="A2" s="73"/>
      <c r="B2" s="234"/>
      <c r="C2" s="73"/>
      <c r="D2" s="73"/>
      <c r="F2" s="231" t="s">
        <v>488</v>
      </c>
      <c r="G2" s="85"/>
      <c r="H2" s="237" t="s">
        <v>489</v>
      </c>
      <c r="I2" s="86"/>
      <c r="J2" s="237" t="s">
        <v>85</v>
      </c>
      <c r="K2" s="86"/>
      <c r="L2" s="231" t="s">
        <v>490</v>
      </c>
    </row>
    <row r="3" spans="1:12" ht="15.75" customHeight="1" thickBot="1" x14ac:dyDescent="0.3">
      <c r="A3" s="73"/>
      <c r="B3" s="234"/>
      <c r="C3" s="73"/>
      <c r="D3" s="73"/>
      <c r="F3" s="231"/>
      <c r="G3" s="85"/>
      <c r="H3" s="237"/>
      <c r="I3" s="86"/>
      <c r="J3" s="237"/>
      <c r="K3" s="86"/>
      <c r="L3" s="231"/>
    </row>
    <row r="4" spans="1:12" ht="15.75" customHeight="1" thickBot="1" x14ac:dyDescent="0.3">
      <c r="A4" s="230">
        <v>8</v>
      </c>
      <c r="B4" s="234"/>
      <c r="C4" s="74"/>
      <c r="D4" s="74"/>
      <c r="E4" s="233">
        <v>1</v>
      </c>
      <c r="F4" s="232">
        <f>INDEX(Conteudo!A:R,20,5)</f>
        <v>45370</v>
      </c>
      <c r="G4" s="238">
        <v>1</v>
      </c>
      <c r="H4" s="239">
        <f>INDEX(Conteudo!A:R,20,6)</f>
        <v>20</v>
      </c>
      <c r="I4" s="236">
        <v>1</v>
      </c>
      <c r="J4" s="239">
        <f>INDEX(Conteudo!A:R,20,7)</f>
        <v>19</v>
      </c>
      <c r="K4" s="236">
        <v>1</v>
      </c>
      <c r="L4" s="235">
        <f>INDEX(Conteudo!A:R,20,8)</f>
        <v>0.95</v>
      </c>
    </row>
    <row r="5" spans="1:12" ht="15.75" customHeight="1" thickBot="1" x14ac:dyDescent="0.3">
      <c r="A5" s="230"/>
      <c r="B5" s="234"/>
      <c r="C5" s="74"/>
      <c r="D5" s="74"/>
      <c r="E5" s="233"/>
      <c r="F5" s="232"/>
      <c r="G5" s="238"/>
      <c r="H5" s="239"/>
      <c r="I5" s="236"/>
      <c r="J5" s="239"/>
      <c r="K5" s="236"/>
      <c r="L5" s="235"/>
    </row>
    <row r="6" spans="1:12" ht="30" customHeight="1" thickBot="1" x14ac:dyDescent="0.3">
      <c r="A6" s="18" t="s">
        <v>89</v>
      </c>
      <c r="B6" s="171"/>
      <c r="C6"/>
      <c r="D6" s="73"/>
    </row>
    <row r="7" spans="1:12" ht="30" customHeight="1" thickBot="1" x14ac:dyDescent="0.3">
      <c r="A7" s="18" t="s">
        <v>89</v>
      </c>
      <c r="B7" s="172"/>
      <c r="C7" s="61"/>
      <c r="D7" s="73"/>
      <c r="F7" s="80" t="s">
        <v>79</v>
      </c>
      <c r="G7" s="79"/>
      <c r="H7" s="81">
        <f>IF(Começo!D9="","",INDEX(Começo!A:E,9,4))</f>
        <v>45334</v>
      </c>
      <c r="I7" s="75"/>
      <c r="L7" s="98" t="s">
        <v>493</v>
      </c>
    </row>
    <row r="8" spans="1:12" ht="30" customHeight="1" thickBot="1" x14ac:dyDescent="0.3">
      <c r="A8" s="18" t="s">
        <v>89</v>
      </c>
      <c r="B8" s="172"/>
      <c r="C8" s="61"/>
      <c r="D8" s="73"/>
      <c r="F8" s="80" t="s">
        <v>39</v>
      </c>
      <c r="G8" s="79"/>
      <c r="H8" s="87" t="str">
        <f>IF(Começo!D10="","",INDEX(Começo!A:E,10,4))</f>
        <v>Perito Criminal</v>
      </c>
      <c r="I8" s="76"/>
    </row>
    <row r="9" spans="1:12" ht="30" customHeight="1" thickBot="1" x14ac:dyDescent="0.3">
      <c r="A9" s="18" t="s">
        <v>89</v>
      </c>
      <c r="B9" s="172"/>
      <c r="C9"/>
      <c r="D9" s="73"/>
      <c r="F9" s="80" t="s">
        <v>1</v>
      </c>
      <c r="G9" s="79"/>
      <c r="H9" s="82" t="str">
        <f>INDEX(Começo!A:G,11,4)</f>
        <v>Médio</v>
      </c>
      <c r="I9" s="77"/>
    </row>
    <row r="10" spans="1:12" ht="30" customHeight="1" thickBot="1" x14ac:dyDescent="0.3">
      <c r="A10" s="18" t="s">
        <v>89</v>
      </c>
      <c r="B10" s="172"/>
      <c r="C10"/>
      <c r="D10" s="73"/>
      <c r="I10"/>
    </row>
    <row r="11" spans="1:12" ht="30" customHeight="1" thickBot="1" x14ac:dyDescent="0.3">
      <c r="A11" s="18" t="s">
        <v>89</v>
      </c>
      <c r="B11" s="172"/>
      <c r="C11"/>
      <c r="D11" s="73"/>
      <c r="F11" s="83" t="s">
        <v>491</v>
      </c>
      <c r="I11"/>
      <c r="J11" s="240" t="s">
        <v>478</v>
      </c>
      <c r="K11" s="241"/>
      <c r="L11" s="242"/>
    </row>
    <row r="12" spans="1:12" ht="30" customHeight="1" thickBot="1" x14ac:dyDescent="0.3">
      <c r="A12" s="18" t="s">
        <v>89</v>
      </c>
      <c r="B12" s="172"/>
      <c r="C12"/>
      <c r="D12" s="73"/>
      <c r="F12" s="84">
        <f>INDEX(Começo!A:J,9,10)</f>
        <v>271</v>
      </c>
      <c r="I12"/>
      <c r="J12" s="243" t="str">
        <f>INDEX(Começo!A:K,21,11)</f>
        <v>Excelente</v>
      </c>
      <c r="K12" s="244"/>
      <c r="L12" s="245"/>
    </row>
    <row r="13" spans="1:12" ht="30" customHeight="1" thickBot="1" x14ac:dyDescent="0.3">
      <c r="A13" s="18" t="s">
        <v>89</v>
      </c>
      <c r="B13" s="172"/>
      <c r="C13"/>
      <c r="D13" s="73"/>
      <c r="I13"/>
    </row>
    <row r="14" spans="1:12" ht="30" customHeight="1" thickBot="1" x14ac:dyDescent="0.3">
      <c r="A14" s="18" t="s">
        <v>89</v>
      </c>
      <c r="B14" s="172"/>
      <c r="C14"/>
      <c r="D14" s="73"/>
      <c r="F14" s="92" t="s">
        <v>482</v>
      </c>
      <c r="H14" s="94" t="s">
        <v>86</v>
      </c>
      <c r="I14"/>
      <c r="J14" s="95" t="s">
        <v>87</v>
      </c>
    </row>
    <row r="15" spans="1:12" ht="30" customHeight="1" thickBot="1" x14ac:dyDescent="0.3">
      <c r="A15" s="18" t="s">
        <v>89</v>
      </c>
      <c r="B15" s="172"/>
      <c r="C15"/>
      <c r="D15" s="73"/>
      <c r="H15" s="93"/>
      <c r="I15"/>
      <c r="J15" s="95"/>
    </row>
    <row r="16" spans="1:12" ht="30" customHeight="1" thickBot="1" x14ac:dyDescent="0.3">
      <c r="A16" s="18" t="s">
        <v>89</v>
      </c>
      <c r="B16" s="172"/>
      <c r="C16"/>
      <c r="D16" s="73"/>
      <c r="I16"/>
    </row>
    <row r="17" spans="1:15" ht="30" customHeight="1" thickBot="1" x14ac:dyDescent="0.3">
      <c r="A17" s="18" t="s">
        <v>89</v>
      </c>
      <c r="B17" s="172"/>
      <c r="C17"/>
      <c r="D17" s="73"/>
      <c r="F17" s="89">
        <v>1</v>
      </c>
      <c r="G17" s="89"/>
      <c r="H17" s="89">
        <v>7</v>
      </c>
      <c r="I17" s="89">
        <v>15</v>
      </c>
      <c r="J17" s="89">
        <v>30</v>
      </c>
      <c r="K17" s="89">
        <v>45</v>
      </c>
      <c r="L17" s="89">
        <v>60</v>
      </c>
      <c r="M17" s="89">
        <v>60</v>
      </c>
      <c r="N17" s="89">
        <v>75</v>
      </c>
      <c r="O17" s="89">
        <v>90</v>
      </c>
    </row>
    <row r="18" spans="1:15" ht="30" customHeight="1" thickBot="1" x14ac:dyDescent="0.3">
      <c r="A18" s="18" t="s">
        <v>89</v>
      </c>
      <c r="B18" s="172"/>
      <c r="C18"/>
      <c r="D18" s="73"/>
      <c r="F18" s="88" t="s">
        <v>484</v>
      </c>
      <c r="G18" s="88"/>
      <c r="H18" s="88" t="s">
        <v>485</v>
      </c>
      <c r="I18" s="88" t="s">
        <v>486</v>
      </c>
      <c r="J18" s="88" t="s">
        <v>100</v>
      </c>
      <c r="K18" s="88" t="s">
        <v>487</v>
      </c>
      <c r="L18" s="88" t="s">
        <v>137</v>
      </c>
      <c r="M18" s="88" t="s">
        <v>137</v>
      </c>
      <c r="N18" s="88" t="s">
        <v>138</v>
      </c>
      <c r="O18" s="88" t="s">
        <v>140</v>
      </c>
    </row>
    <row r="19" spans="1:15" ht="30" customHeight="1" thickBot="1" x14ac:dyDescent="0.3">
      <c r="A19" s="18" t="s">
        <v>89</v>
      </c>
      <c r="B19" s="172"/>
      <c r="C19"/>
      <c r="D19" s="73"/>
      <c r="F19" s="89" t="s">
        <v>95</v>
      </c>
      <c r="G19" s="89"/>
      <c r="H19" s="89" t="s">
        <v>96</v>
      </c>
      <c r="I19" s="89" t="s">
        <v>97</v>
      </c>
      <c r="J19" s="89" t="s">
        <v>98</v>
      </c>
      <c r="K19" s="89" t="s">
        <v>136</v>
      </c>
      <c r="L19" s="89" t="s">
        <v>135</v>
      </c>
      <c r="M19" s="89" t="s">
        <v>135</v>
      </c>
      <c r="N19" s="89" t="s">
        <v>139</v>
      </c>
      <c r="O19" s="89" t="s">
        <v>141</v>
      </c>
    </row>
    <row r="20" spans="1:15" ht="30" customHeight="1" thickBot="1" x14ac:dyDescent="0.3">
      <c r="A20" s="18" t="s">
        <v>89</v>
      </c>
      <c r="B20" s="172"/>
      <c r="C20"/>
      <c r="D20" s="73"/>
      <c r="F20" s="90">
        <f>SUM(INDEX(Conteudo!A:L,20,5),1)</f>
        <v>45371</v>
      </c>
      <c r="G20" s="91"/>
      <c r="H20" s="90">
        <f>SUM($F$20,H17)</f>
        <v>45378</v>
      </c>
      <c r="I20" s="90">
        <f t="shared" ref="I20:O20" si="0">SUM($F$20,I17)</f>
        <v>45386</v>
      </c>
      <c r="J20" s="90">
        <f t="shared" si="0"/>
        <v>45401</v>
      </c>
      <c r="K20" s="90">
        <f t="shared" si="0"/>
        <v>45416</v>
      </c>
      <c r="L20" s="90">
        <f t="shared" si="0"/>
        <v>45431</v>
      </c>
      <c r="M20" s="90">
        <f t="shared" si="0"/>
        <v>45431</v>
      </c>
      <c r="N20" s="90">
        <f t="shared" si="0"/>
        <v>45446</v>
      </c>
      <c r="O20" s="90">
        <f t="shared" si="0"/>
        <v>45461</v>
      </c>
    </row>
    <row r="21" spans="1:15" ht="30" customHeight="1" thickBot="1" x14ac:dyDescent="0.3">
      <c r="A21" s="18" t="s">
        <v>89</v>
      </c>
      <c r="B21" s="172"/>
      <c r="C21"/>
      <c r="D21" s="73"/>
      <c r="I21"/>
    </row>
    <row r="22" spans="1:15" ht="30" customHeight="1" thickBot="1" x14ac:dyDescent="0.3">
      <c r="A22" s="18" t="s">
        <v>89</v>
      </c>
      <c r="B22" s="172"/>
      <c r="C22"/>
      <c r="D22" s="73"/>
      <c r="I22"/>
    </row>
    <row r="23" spans="1:15" ht="30" customHeight="1" thickBot="1" x14ac:dyDescent="0.3">
      <c r="A23" s="18" t="s">
        <v>89</v>
      </c>
      <c r="B23" s="172"/>
      <c r="C23"/>
      <c r="D23" s="73"/>
      <c r="I23"/>
    </row>
    <row r="24" spans="1:15" ht="30" customHeight="1" thickBot="1" x14ac:dyDescent="0.3">
      <c r="A24" s="18" t="s">
        <v>89</v>
      </c>
      <c r="B24" s="172"/>
      <c r="C24"/>
      <c r="D24" s="73"/>
      <c r="I24"/>
    </row>
    <row r="25" spans="1:15" ht="30" customHeight="1" thickBot="1" x14ac:dyDescent="0.3">
      <c r="A25" s="18" t="s">
        <v>89</v>
      </c>
      <c r="B25" s="172"/>
      <c r="C25"/>
      <c r="D25" s="73"/>
      <c r="I25"/>
    </row>
    <row r="26" spans="1:15" ht="30" customHeight="1" thickBot="1" x14ac:dyDescent="0.3">
      <c r="A26" s="18" t="s">
        <v>89</v>
      </c>
      <c r="B26" s="172"/>
      <c r="C26"/>
      <c r="D26" s="73"/>
      <c r="I26"/>
    </row>
    <row r="27" spans="1:15" ht="30" customHeight="1" thickBot="1" x14ac:dyDescent="0.3">
      <c r="A27" s="18" t="s">
        <v>89</v>
      </c>
      <c r="B27" s="172"/>
      <c r="C27"/>
      <c r="D27" s="73"/>
      <c r="I27"/>
    </row>
    <row r="28" spans="1:15" ht="30" customHeight="1" thickBot="1" x14ac:dyDescent="0.3">
      <c r="A28" s="18" t="s">
        <v>89</v>
      </c>
      <c r="B28" s="172"/>
      <c r="C28"/>
      <c r="D28" s="73"/>
      <c r="I28"/>
    </row>
    <row r="29" spans="1:15" ht="30" customHeight="1" thickBot="1" x14ac:dyDescent="0.3">
      <c r="A29" s="18" t="s">
        <v>89</v>
      </c>
      <c r="B29" s="172"/>
      <c r="C29"/>
      <c r="D29" s="73"/>
      <c r="I29"/>
    </row>
    <row r="30" spans="1:15" ht="30" customHeight="1" thickBot="1" x14ac:dyDescent="0.3">
      <c r="A30" s="18" t="s">
        <v>89</v>
      </c>
      <c r="B30" s="172"/>
      <c r="C30"/>
      <c r="D30" s="73"/>
      <c r="I30"/>
    </row>
    <row r="31" spans="1:15" x14ac:dyDescent="0.25">
      <c r="A31"/>
      <c r="B31"/>
      <c r="C31"/>
      <c r="D31" s="73"/>
    </row>
  </sheetData>
  <sheetProtection algorithmName="SHA-512" hashValue="3p79y8Iq5DT4GGJadYqrpGQc1RcyLp53t+1YLJstHJeeDPHrhWR6PauO5APu1OwoeMpQvTS4tfq3cxYPmwX1wg==" saltValue="FM4TyW8ZZEu3PSfnTT1fmw==" spinCount="100000" sheet="1" objects="1" scenarios="1"/>
  <mergeCells count="16">
    <mergeCell ref="J11:L11"/>
    <mergeCell ref="J12:L12"/>
    <mergeCell ref="A4:A5"/>
    <mergeCell ref="E4:E5"/>
    <mergeCell ref="F4:F5"/>
    <mergeCell ref="G4:G5"/>
    <mergeCell ref="H4:H5"/>
    <mergeCell ref="I4:I5"/>
    <mergeCell ref="J4:J5"/>
    <mergeCell ref="K4:K5"/>
    <mergeCell ref="L4:L5"/>
    <mergeCell ref="B1:B5"/>
    <mergeCell ref="F2:F3"/>
    <mergeCell ref="H2:H3"/>
    <mergeCell ref="J2:J3"/>
    <mergeCell ref="L2:L3"/>
  </mergeCells>
  <conditionalFormatting sqref="H9">
    <cfRule type="containsText" dxfId="137" priority="4" operator="containsText" text="Difícil">
      <formula>NOT(ISERROR(SEARCH("Difícil",H9)))</formula>
    </cfRule>
    <cfRule type="containsText" dxfId="136" priority="5" operator="containsText" text="Médio">
      <formula>NOT(ISERROR(SEARCH("Médio",H9)))</formula>
    </cfRule>
    <cfRule type="containsText" dxfId="135" priority="6" operator="containsText" text="Facíl">
      <formula>NOT(ISERROR(SEARCH("Facíl",H9)))</formula>
    </cfRule>
  </conditionalFormatting>
  <conditionalFormatting sqref="H14">
    <cfRule type="containsText" dxfId="134" priority="1" operator="containsText" text="Difícil">
      <formula>NOT(ISERROR(SEARCH("Difícil",H14)))</formula>
    </cfRule>
    <cfRule type="containsText" dxfId="133" priority="2" operator="containsText" text="Médio">
      <formula>NOT(ISERROR(SEARCH("Médio",H14)))</formula>
    </cfRule>
    <cfRule type="containsText" dxfId="132" priority="3" operator="containsText" text="Facíl">
      <formula>NOT(ISERROR(SEARCH("Facíl",H14)))</formula>
    </cfRule>
  </conditionalFormatting>
  <hyperlinks>
    <hyperlink ref="F14" r:id="rId1" tooltip="Site de Simulado" xr:uid="{00000000-0004-0000-0C00-000000000000}"/>
    <hyperlink ref="H14:H15" r:id="rId2" tooltip="Pagina de Pesquisa do Google" display="Google" xr:uid="{00000000-0004-0000-0C00-000001000000}"/>
    <hyperlink ref="J14:J15" r:id="rId3" tooltip="Pagina do Youtube " display="Youtube" xr:uid="{00000000-0004-0000-0C00-000002000000}"/>
    <hyperlink ref="L7" location="Conteudo!A1" display="◄ Voltar" xr:uid="{00000000-0004-0000-0C00-000003000000}"/>
  </hyperlinks>
  <pageMargins left="0.511811024" right="0.511811024" top="0.78740157499999996" bottom="0.78740157499999996" header="0.31496062000000002" footer="0.31496062000000002"/>
  <drawing r:id="rId4"/>
  <legacyDrawing r:id="rId5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O31"/>
  <sheetViews>
    <sheetView showGridLines="0" showRowColHeaders="0" workbookViewId="0">
      <selection activeCell="B6" sqref="B6:B30"/>
    </sheetView>
  </sheetViews>
  <sheetFormatPr defaultRowHeight="15" x14ac:dyDescent="0.25"/>
  <cols>
    <col min="1" max="1" width="3.140625" style="78" customWidth="1"/>
    <col min="2" max="2" width="42" style="78" customWidth="1"/>
    <col min="3" max="4" width="0.85546875" style="78" customWidth="1"/>
    <col min="5" max="5" width="1.5703125" style="78" customWidth="1"/>
    <col min="6" max="6" width="14.7109375" style="78" customWidth="1"/>
    <col min="7" max="7" width="14.7109375" style="78" hidden="1" customWidth="1"/>
    <col min="8" max="8" width="14.7109375" style="78" customWidth="1"/>
    <col min="9" max="9" width="14.7109375" style="78" hidden="1" customWidth="1"/>
    <col min="10" max="10" width="14.7109375" style="78" customWidth="1"/>
    <col min="11" max="11" width="14.7109375" style="78" hidden="1" customWidth="1"/>
    <col min="12" max="16" width="14.7109375" style="78" customWidth="1"/>
    <col min="17" max="16384" width="9.140625" style="78"/>
  </cols>
  <sheetData>
    <row r="1" spans="1:12" ht="8.25" customHeight="1" thickBot="1" x14ac:dyDescent="0.3">
      <c r="A1" s="73"/>
      <c r="B1" s="234" t="str">
        <f>VLOOKUP(A4,Começo!A:C,3,0)</f>
        <v>Direito Tributário</v>
      </c>
      <c r="C1" s="73"/>
      <c r="D1" s="73"/>
    </row>
    <row r="2" spans="1:12" ht="15.75" customHeight="1" thickBot="1" x14ac:dyDescent="0.3">
      <c r="A2" s="73"/>
      <c r="B2" s="234"/>
      <c r="C2" s="73"/>
      <c r="D2" s="73"/>
      <c r="F2" s="231" t="s">
        <v>488</v>
      </c>
      <c r="G2" s="85"/>
      <c r="H2" s="237" t="s">
        <v>489</v>
      </c>
      <c r="I2" s="86"/>
      <c r="J2" s="237" t="s">
        <v>85</v>
      </c>
      <c r="K2" s="86"/>
      <c r="L2" s="231" t="s">
        <v>490</v>
      </c>
    </row>
    <row r="3" spans="1:12" ht="15.75" customHeight="1" thickBot="1" x14ac:dyDescent="0.3">
      <c r="A3" s="73"/>
      <c r="B3" s="234"/>
      <c r="C3" s="73"/>
      <c r="D3" s="73"/>
      <c r="F3" s="231"/>
      <c r="G3" s="85"/>
      <c r="H3" s="237"/>
      <c r="I3" s="86"/>
      <c r="J3" s="237"/>
      <c r="K3" s="86"/>
      <c r="L3" s="231"/>
    </row>
    <row r="4" spans="1:12" ht="15.75" customHeight="1" thickBot="1" x14ac:dyDescent="0.3">
      <c r="A4" s="230">
        <v>9</v>
      </c>
      <c r="B4" s="234"/>
      <c r="C4" s="74"/>
      <c r="D4" s="74"/>
      <c r="E4" s="233">
        <v>1</v>
      </c>
      <c r="F4" s="232">
        <f>INDEX(Conteudo!A:R,21,5)</f>
        <v>45371</v>
      </c>
      <c r="G4" s="238">
        <v>1</v>
      </c>
      <c r="H4" s="239">
        <f>INDEX(Conteudo!A:R,21,6)</f>
        <v>15</v>
      </c>
      <c r="I4" s="236">
        <v>1</v>
      </c>
      <c r="J4" s="239">
        <f>INDEX(Conteudo!A:R,21,7)</f>
        <v>11</v>
      </c>
      <c r="K4" s="236">
        <v>1</v>
      </c>
      <c r="L4" s="235">
        <f>INDEX(Conteudo!A:R,21,8)</f>
        <v>0.73333333333333328</v>
      </c>
    </row>
    <row r="5" spans="1:12" ht="15.75" customHeight="1" thickBot="1" x14ac:dyDescent="0.3">
      <c r="A5" s="230"/>
      <c r="B5" s="234"/>
      <c r="C5" s="74"/>
      <c r="D5" s="74"/>
      <c r="E5" s="233"/>
      <c r="F5" s="232"/>
      <c r="G5" s="238"/>
      <c r="H5" s="239"/>
      <c r="I5" s="236"/>
      <c r="J5" s="239"/>
      <c r="K5" s="236"/>
      <c r="L5" s="235"/>
    </row>
    <row r="6" spans="1:12" ht="30" customHeight="1" thickBot="1" x14ac:dyDescent="0.3">
      <c r="A6" s="18" t="s">
        <v>89</v>
      </c>
      <c r="B6" s="171"/>
      <c r="C6"/>
      <c r="D6" s="73"/>
    </row>
    <row r="7" spans="1:12" ht="30" customHeight="1" thickBot="1" x14ac:dyDescent="0.3">
      <c r="A7" s="18" t="s">
        <v>89</v>
      </c>
      <c r="B7" s="172"/>
      <c r="C7" s="61"/>
      <c r="D7" s="73"/>
      <c r="F7" s="80" t="s">
        <v>79</v>
      </c>
      <c r="G7" s="79"/>
      <c r="H7" s="81">
        <f>IF(Começo!D9="","",INDEX(Começo!A:E,9,4))</f>
        <v>45334</v>
      </c>
      <c r="I7" s="75"/>
      <c r="L7" s="98" t="s">
        <v>493</v>
      </c>
    </row>
    <row r="8" spans="1:12" ht="30" customHeight="1" thickBot="1" x14ac:dyDescent="0.3">
      <c r="A8" s="18" t="s">
        <v>89</v>
      </c>
      <c r="B8" s="172"/>
      <c r="C8" s="61"/>
      <c r="D8" s="73"/>
      <c r="F8" s="80" t="s">
        <v>39</v>
      </c>
      <c r="G8" s="79"/>
      <c r="H8" s="87" t="str">
        <f>IF(Começo!D10="","",INDEX(Começo!A:E,10,4))</f>
        <v>Perito Criminal</v>
      </c>
      <c r="I8" s="76"/>
    </row>
    <row r="9" spans="1:12" ht="30" customHeight="1" thickBot="1" x14ac:dyDescent="0.3">
      <c r="A9" s="18" t="s">
        <v>89</v>
      </c>
      <c r="B9" s="172"/>
      <c r="C9"/>
      <c r="D9" s="73"/>
      <c r="F9" s="80" t="s">
        <v>1</v>
      </c>
      <c r="G9" s="79"/>
      <c r="H9" s="82" t="str">
        <f>INDEX(Começo!A:G,11,4)</f>
        <v>Médio</v>
      </c>
      <c r="I9" s="77"/>
    </row>
    <row r="10" spans="1:12" ht="30" customHeight="1" thickBot="1" x14ac:dyDescent="0.3">
      <c r="A10" s="18" t="s">
        <v>89</v>
      </c>
      <c r="B10" s="172"/>
      <c r="C10"/>
      <c r="D10" s="73"/>
      <c r="I10"/>
    </row>
    <row r="11" spans="1:12" ht="30" customHeight="1" thickBot="1" x14ac:dyDescent="0.3">
      <c r="A11" s="18" t="s">
        <v>89</v>
      </c>
      <c r="B11" s="172"/>
      <c r="C11"/>
      <c r="D11" s="73"/>
      <c r="F11" s="83" t="s">
        <v>491</v>
      </c>
      <c r="I11"/>
      <c r="J11" s="240" t="s">
        <v>478</v>
      </c>
      <c r="K11" s="241"/>
      <c r="L11" s="242"/>
    </row>
    <row r="12" spans="1:12" ht="30" customHeight="1" thickBot="1" x14ac:dyDescent="0.3">
      <c r="A12" s="18" t="s">
        <v>89</v>
      </c>
      <c r="B12" s="172"/>
      <c r="C12"/>
      <c r="D12" s="73"/>
      <c r="F12" s="84">
        <f>INDEX(Começo!A:J,9,10)</f>
        <v>271</v>
      </c>
      <c r="I12"/>
      <c r="J12" s="243" t="str">
        <f>INDEX(Começo!A:K,22,11)</f>
        <v>Bom</v>
      </c>
      <c r="K12" s="244"/>
      <c r="L12" s="245"/>
    </row>
    <row r="13" spans="1:12" ht="30" customHeight="1" thickBot="1" x14ac:dyDescent="0.3">
      <c r="A13" s="18" t="s">
        <v>89</v>
      </c>
      <c r="B13" s="172"/>
      <c r="C13"/>
      <c r="D13" s="73"/>
      <c r="I13"/>
    </row>
    <row r="14" spans="1:12" ht="30" customHeight="1" thickBot="1" x14ac:dyDescent="0.3">
      <c r="A14" s="18" t="s">
        <v>89</v>
      </c>
      <c r="B14" s="172"/>
      <c r="C14"/>
      <c r="D14" s="73"/>
      <c r="F14" s="92" t="s">
        <v>482</v>
      </c>
      <c r="H14" s="94" t="s">
        <v>86</v>
      </c>
      <c r="I14"/>
      <c r="J14" s="95" t="s">
        <v>87</v>
      </c>
    </row>
    <row r="15" spans="1:12" ht="30" customHeight="1" thickBot="1" x14ac:dyDescent="0.3">
      <c r="A15" s="18" t="s">
        <v>89</v>
      </c>
      <c r="B15" s="172"/>
      <c r="C15"/>
      <c r="D15" s="73"/>
      <c r="H15" s="93"/>
      <c r="I15"/>
      <c r="J15" s="95"/>
    </row>
    <row r="16" spans="1:12" ht="30" customHeight="1" thickBot="1" x14ac:dyDescent="0.3">
      <c r="A16" s="18" t="s">
        <v>89</v>
      </c>
      <c r="B16" s="172"/>
      <c r="C16"/>
      <c r="D16" s="73"/>
      <c r="I16"/>
    </row>
    <row r="17" spans="1:15" ht="30" customHeight="1" thickBot="1" x14ac:dyDescent="0.3">
      <c r="A17" s="18" t="s">
        <v>89</v>
      </c>
      <c r="B17" s="172"/>
      <c r="C17"/>
      <c r="D17" s="73"/>
      <c r="F17" s="89">
        <v>1</v>
      </c>
      <c r="G17" s="89"/>
      <c r="H17" s="89">
        <v>7</v>
      </c>
      <c r="I17" s="89">
        <v>15</v>
      </c>
      <c r="J17" s="89">
        <v>30</v>
      </c>
      <c r="K17" s="89">
        <v>45</v>
      </c>
      <c r="L17" s="89">
        <v>60</v>
      </c>
      <c r="M17" s="89">
        <v>60</v>
      </c>
      <c r="N17" s="89">
        <v>75</v>
      </c>
      <c r="O17" s="89">
        <v>90</v>
      </c>
    </row>
    <row r="18" spans="1:15" ht="30" customHeight="1" thickBot="1" x14ac:dyDescent="0.3">
      <c r="A18" s="18" t="s">
        <v>89</v>
      </c>
      <c r="B18" s="172"/>
      <c r="C18"/>
      <c r="D18" s="73"/>
      <c r="F18" s="88" t="s">
        <v>484</v>
      </c>
      <c r="G18" s="88"/>
      <c r="H18" s="88" t="s">
        <v>485</v>
      </c>
      <c r="I18" s="88" t="s">
        <v>486</v>
      </c>
      <c r="J18" s="88" t="s">
        <v>100</v>
      </c>
      <c r="K18" s="88" t="s">
        <v>487</v>
      </c>
      <c r="L18" s="88" t="s">
        <v>137</v>
      </c>
      <c r="M18" s="88" t="s">
        <v>137</v>
      </c>
      <c r="N18" s="88" t="s">
        <v>138</v>
      </c>
      <c r="O18" s="88" t="s">
        <v>140</v>
      </c>
    </row>
    <row r="19" spans="1:15" ht="30" customHeight="1" thickBot="1" x14ac:dyDescent="0.3">
      <c r="A19" s="18" t="s">
        <v>89</v>
      </c>
      <c r="B19" s="172"/>
      <c r="C19"/>
      <c r="D19" s="73"/>
      <c r="F19" s="89" t="s">
        <v>95</v>
      </c>
      <c r="G19" s="89"/>
      <c r="H19" s="89" t="s">
        <v>96</v>
      </c>
      <c r="I19" s="89" t="s">
        <v>97</v>
      </c>
      <c r="J19" s="89" t="s">
        <v>98</v>
      </c>
      <c r="K19" s="89" t="s">
        <v>136</v>
      </c>
      <c r="L19" s="89" t="s">
        <v>135</v>
      </c>
      <c r="M19" s="89" t="s">
        <v>135</v>
      </c>
      <c r="N19" s="89" t="s">
        <v>139</v>
      </c>
      <c r="O19" s="89" t="s">
        <v>141</v>
      </c>
    </row>
    <row r="20" spans="1:15" ht="30" customHeight="1" thickBot="1" x14ac:dyDescent="0.3">
      <c r="A20" s="18" t="s">
        <v>89</v>
      </c>
      <c r="B20" s="172"/>
      <c r="C20"/>
      <c r="D20" s="73"/>
      <c r="F20" s="90">
        <f>SUM(INDEX(Conteudo!A:L,21,5),1)</f>
        <v>45372</v>
      </c>
      <c r="G20" s="91"/>
      <c r="H20" s="90">
        <f>SUM($F$20,H17)</f>
        <v>45379</v>
      </c>
      <c r="I20" s="90">
        <f t="shared" ref="I20:O20" si="0">SUM($F$20,I17)</f>
        <v>45387</v>
      </c>
      <c r="J20" s="90">
        <f t="shared" si="0"/>
        <v>45402</v>
      </c>
      <c r="K20" s="90">
        <f t="shared" si="0"/>
        <v>45417</v>
      </c>
      <c r="L20" s="90">
        <f t="shared" si="0"/>
        <v>45432</v>
      </c>
      <c r="M20" s="90">
        <f t="shared" si="0"/>
        <v>45432</v>
      </c>
      <c r="N20" s="90">
        <f t="shared" si="0"/>
        <v>45447</v>
      </c>
      <c r="O20" s="90">
        <f t="shared" si="0"/>
        <v>45462</v>
      </c>
    </row>
    <row r="21" spans="1:15" ht="30" customHeight="1" thickBot="1" x14ac:dyDescent="0.3">
      <c r="A21" s="18" t="s">
        <v>89</v>
      </c>
      <c r="B21" s="172"/>
      <c r="C21"/>
      <c r="D21" s="73"/>
      <c r="I21"/>
    </row>
    <row r="22" spans="1:15" ht="30" customHeight="1" thickBot="1" x14ac:dyDescent="0.3">
      <c r="A22" s="18" t="s">
        <v>89</v>
      </c>
      <c r="B22" s="172"/>
      <c r="C22"/>
      <c r="D22" s="73"/>
      <c r="I22"/>
    </row>
    <row r="23" spans="1:15" ht="30" customHeight="1" thickBot="1" x14ac:dyDescent="0.3">
      <c r="A23" s="18" t="s">
        <v>89</v>
      </c>
      <c r="B23" s="172"/>
      <c r="C23"/>
      <c r="D23" s="73"/>
      <c r="I23"/>
    </row>
    <row r="24" spans="1:15" ht="30" customHeight="1" thickBot="1" x14ac:dyDescent="0.3">
      <c r="A24" s="18" t="s">
        <v>89</v>
      </c>
      <c r="B24" s="172"/>
      <c r="C24"/>
      <c r="D24" s="73"/>
      <c r="I24"/>
    </row>
    <row r="25" spans="1:15" ht="30" customHeight="1" thickBot="1" x14ac:dyDescent="0.3">
      <c r="A25" s="18" t="s">
        <v>89</v>
      </c>
      <c r="B25" s="172"/>
      <c r="C25"/>
      <c r="D25" s="73"/>
      <c r="I25"/>
    </row>
    <row r="26" spans="1:15" ht="30" customHeight="1" thickBot="1" x14ac:dyDescent="0.3">
      <c r="A26" s="18" t="s">
        <v>89</v>
      </c>
      <c r="B26" s="172"/>
      <c r="C26"/>
      <c r="D26" s="73"/>
      <c r="I26"/>
    </row>
    <row r="27" spans="1:15" ht="30" customHeight="1" thickBot="1" x14ac:dyDescent="0.3">
      <c r="A27" s="18" t="s">
        <v>89</v>
      </c>
      <c r="B27" s="172"/>
      <c r="C27"/>
      <c r="D27" s="73"/>
      <c r="I27"/>
    </row>
    <row r="28" spans="1:15" ht="30" customHeight="1" thickBot="1" x14ac:dyDescent="0.3">
      <c r="A28" s="18" t="s">
        <v>89</v>
      </c>
      <c r="B28" s="172"/>
      <c r="C28"/>
      <c r="D28" s="73"/>
      <c r="I28"/>
    </row>
    <row r="29" spans="1:15" ht="30" customHeight="1" thickBot="1" x14ac:dyDescent="0.3">
      <c r="A29" s="18" t="s">
        <v>89</v>
      </c>
      <c r="B29" s="172"/>
      <c r="C29"/>
      <c r="D29" s="73"/>
      <c r="I29"/>
    </row>
    <row r="30" spans="1:15" ht="30" customHeight="1" thickBot="1" x14ac:dyDescent="0.3">
      <c r="A30" s="18" t="s">
        <v>89</v>
      </c>
      <c r="B30" s="172"/>
      <c r="C30"/>
      <c r="D30" s="73"/>
      <c r="I30"/>
    </row>
    <row r="31" spans="1:15" x14ac:dyDescent="0.25">
      <c r="A31"/>
      <c r="B31"/>
      <c r="C31"/>
      <c r="D31" s="73"/>
    </row>
  </sheetData>
  <sheetProtection algorithmName="SHA-512" hashValue="LA+2syct12kyMjrKUO8xf4LqRhrSqrJTOEc88pKz1w/+Gew1iuSjwjzKv13EpJd8HDyNMSAkFJDY4cLNe6BwUA==" saltValue="nQZTGmhVfSFyEKu/4KP3lg==" spinCount="100000" sheet="1" objects="1" scenarios="1"/>
  <mergeCells count="16">
    <mergeCell ref="J11:L11"/>
    <mergeCell ref="J12:L12"/>
    <mergeCell ref="A4:A5"/>
    <mergeCell ref="E4:E5"/>
    <mergeCell ref="F4:F5"/>
    <mergeCell ref="G4:G5"/>
    <mergeCell ref="H4:H5"/>
    <mergeCell ref="I4:I5"/>
    <mergeCell ref="J4:J5"/>
    <mergeCell ref="K4:K5"/>
    <mergeCell ref="L4:L5"/>
    <mergeCell ref="B1:B5"/>
    <mergeCell ref="F2:F3"/>
    <mergeCell ref="H2:H3"/>
    <mergeCell ref="J2:J3"/>
    <mergeCell ref="L2:L3"/>
  </mergeCells>
  <conditionalFormatting sqref="H9">
    <cfRule type="containsText" dxfId="131" priority="4" operator="containsText" text="Difícil">
      <formula>NOT(ISERROR(SEARCH("Difícil",H9)))</formula>
    </cfRule>
    <cfRule type="containsText" dxfId="130" priority="5" operator="containsText" text="Médio">
      <formula>NOT(ISERROR(SEARCH("Médio",H9)))</formula>
    </cfRule>
    <cfRule type="containsText" dxfId="129" priority="6" operator="containsText" text="Facíl">
      <formula>NOT(ISERROR(SEARCH("Facíl",H9)))</formula>
    </cfRule>
  </conditionalFormatting>
  <conditionalFormatting sqref="H14">
    <cfRule type="containsText" dxfId="128" priority="1" operator="containsText" text="Difícil">
      <formula>NOT(ISERROR(SEARCH("Difícil",H14)))</formula>
    </cfRule>
    <cfRule type="containsText" dxfId="127" priority="2" operator="containsText" text="Médio">
      <formula>NOT(ISERROR(SEARCH("Médio",H14)))</formula>
    </cfRule>
    <cfRule type="containsText" dxfId="126" priority="3" operator="containsText" text="Facíl">
      <formula>NOT(ISERROR(SEARCH("Facíl",H14)))</formula>
    </cfRule>
  </conditionalFormatting>
  <hyperlinks>
    <hyperlink ref="F14" r:id="rId1" tooltip="Site de Simulado" xr:uid="{00000000-0004-0000-0D00-000000000000}"/>
    <hyperlink ref="H14:H15" r:id="rId2" tooltip="Pagina de Pesquisa do Google" display="Google" xr:uid="{00000000-0004-0000-0D00-000001000000}"/>
    <hyperlink ref="J14:J15" r:id="rId3" tooltip="Pagina do Youtube " display="Youtube" xr:uid="{00000000-0004-0000-0D00-000002000000}"/>
    <hyperlink ref="L7" location="Conteudo!A1" display="◄ Voltar" xr:uid="{00000000-0004-0000-0D00-000003000000}"/>
  </hyperlinks>
  <pageMargins left="0.511811024" right="0.511811024" top="0.78740157499999996" bottom="0.78740157499999996" header="0.31496062000000002" footer="0.31496062000000002"/>
  <drawing r:id="rId4"/>
  <legacyDrawing r:id="rId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A1:O31"/>
  <sheetViews>
    <sheetView showGridLines="0" showRowColHeaders="0" workbookViewId="0">
      <selection activeCell="B6" sqref="B6:B30"/>
    </sheetView>
  </sheetViews>
  <sheetFormatPr defaultRowHeight="15" x14ac:dyDescent="0.25"/>
  <cols>
    <col min="1" max="1" width="3.140625" style="78" customWidth="1"/>
    <col min="2" max="2" width="42" style="78" customWidth="1"/>
    <col min="3" max="4" width="0.85546875" style="78" customWidth="1"/>
    <col min="5" max="5" width="1.5703125" style="78" customWidth="1"/>
    <col min="6" max="6" width="14.7109375" style="78" customWidth="1"/>
    <col min="7" max="7" width="14.7109375" style="78" hidden="1" customWidth="1"/>
    <col min="8" max="8" width="14.7109375" style="78" customWidth="1"/>
    <col min="9" max="9" width="14.7109375" style="78" hidden="1" customWidth="1"/>
    <col min="10" max="10" width="14.7109375" style="78" customWidth="1"/>
    <col min="11" max="11" width="14.7109375" style="78" hidden="1" customWidth="1"/>
    <col min="12" max="16" width="14.7109375" style="78" customWidth="1"/>
    <col min="17" max="16384" width="9.140625" style="78"/>
  </cols>
  <sheetData>
    <row r="1" spans="1:12" ht="8.25" customHeight="1" thickBot="1" x14ac:dyDescent="0.3">
      <c r="A1" s="73"/>
      <c r="B1" s="234" t="str">
        <f>VLOOKUP(A4,Começo!A:C,3,0)</f>
        <v>Inglês</v>
      </c>
      <c r="C1" s="73"/>
      <c r="D1" s="73"/>
    </row>
    <row r="2" spans="1:12" ht="15.75" customHeight="1" thickBot="1" x14ac:dyDescent="0.3">
      <c r="A2" s="73"/>
      <c r="B2" s="234"/>
      <c r="C2" s="73"/>
      <c r="D2" s="73"/>
      <c r="F2" s="231" t="s">
        <v>488</v>
      </c>
      <c r="G2" s="85"/>
      <c r="H2" s="237" t="s">
        <v>489</v>
      </c>
      <c r="I2" s="86"/>
      <c r="J2" s="237" t="s">
        <v>85</v>
      </c>
      <c r="K2" s="86"/>
      <c r="L2" s="231" t="s">
        <v>490</v>
      </c>
    </row>
    <row r="3" spans="1:12" ht="15.75" customHeight="1" thickBot="1" x14ac:dyDescent="0.3">
      <c r="A3" s="73"/>
      <c r="B3" s="234"/>
      <c r="C3" s="73"/>
      <c r="D3" s="73"/>
      <c r="F3" s="231"/>
      <c r="G3" s="85"/>
      <c r="H3" s="237"/>
      <c r="I3" s="86"/>
      <c r="J3" s="237"/>
      <c r="K3" s="86"/>
      <c r="L3" s="231"/>
    </row>
    <row r="4" spans="1:12" ht="15.75" customHeight="1" thickBot="1" x14ac:dyDescent="0.3">
      <c r="A4" s="230">
        <v>10</v>
      </c>
      <c r="B4" s="234"/>
      <c r="C4" s="74"/>
      <c r="D4" s="74"/>
      <c r="E4" s="233">
        <v>1</v>
      </c>
      <c r="F4" s="232">
        <f>INDEX(Conteudo!A:R,22,5)</f>
        <v>45372</v>
      </c>
      <c r="G4" s="238">
        <v>1</v>
      </c>
      <c r="H4" s="239">
        <f>INDEX(Conteudo!A:R,22,6)</f>
        <v>10</v>
      </c>
      <c r="I4" s="236">
        <v>1</v>
      </c>
      <c r="J4" s="239">
        <f>INDEX(Conteudo!A:R,22,7)</f>
        <v>10</v>
      </c>
      <c r="K4" s="236">
        <v>1</v>
      </c>
      <c r="L4" s="235">
        <f>INDEX(Conteudo!A:R,22,8)</f>
        <v>1</v>
      </c>
    </row>
    <row r="5" spans="1:12" ht="15.75" customHeight="1" thickBot="1" x14ac:dyDescent="0.3">
      <c r="A5" s="230"/>
      <c r="B5" s="234"/>
      <c r="C5" s="74"/>
      <c r="D5" s="74"/>
      <c r="E5" s="233"/>
      <c r="F5" s="232"/>
      <c r="G5" s="238"/>
      <c r="H5" s="239"/>
      <c r="I5" s="236"/>
      <c r="J5" s="239"/>
      <c r="K5" s="236"/>
      <c r="L5" s="235"/>
    </row>
    <row r="6" spans="1:12" ht="30" customHeight="1" thickBot="1" x14ac:dyDescent="0.3">
      <c r="A6" s="18" t="s">
        <v>89</v>
      </c>
      <c r="B6" s="171"/>
      <c r="C6"/>
      <c r="D6" s="73"/>
    </row>
    <row r="7" spans="1:12" ht="30" customHeight="1" thickBot="1" x14ac:dyDescent="0.3">
      <c r="A7" s="18" t="s">
        <v>89</v>
      </c>
      <c r="B7" s="172"/>
      <c r="C7" s="61"/>
      <c r="D7" s="73"/>
      <c r="F7" s="80" t="s">
        <v>79</v>
      </c>
      <c r="G7" s="79"/>
      <c r="H7" s="81">
        <f>IF(Começo!D9="","",INDEX(Começo!A:E,9,4))</f>
        <v>45334</v>
      </c>
      <c r="I7" s="75"/>
      <c r="L7" s="98" t="s">
        <v>493</v>
      </c>
    </row>
    <row r="8" spans="1:12" ht="30" customHeight="1" thickBot="1" x14ac:dyDescent="0.3">
      <c r="A8" s="18" t="s">
        <v>89</v>
      </c>
      <c r="B8" s="172"/>
      <c r="C8" s="61"/>
      <c r="D8" s="73"/>
      <c r="F8" s="80" t="s">
        <v>39</v>
      </c>
      <c r="G8" s="79"/>
      <c r="H8" s="87" t="str">
        <f>IF(Começo!D10="","",INDEX(Começo!A:E,10,4))</f>
        <v>Perito Criminal</v>
      </c>
      <c r="I8" s="76"/>
    </row>
    <row r="9" spans="1:12" ht="30" customHeight="1" thickBot="1" x14ac:dyDescent="0.3">
      <c r="A9" s="18" t="s">
        <v>89</v>
      </c>
      <c r="B9" s="172"/>
      <c r="C9"/>
      <c r="D9" s="73"/>
      <c r="F9" s="80" t="s">
        <v>1</v>
      </c>
      <c r="G9" s="79"/>
      <c r="H9" s="82" t="str">
        <f>INDEX(Começo!A:G,11,4)</f>
        <v>Médio</v>
      </c>
      <c r="I9" s="77"/>
    </row>
    <row r="10" spans="1:12" ht="30" customHeight="1" thickBot="1" x14ac:dyDescent="0.3">
      <c r="A10" s="18" t="s">
        <v>89</v>
      </c>
      <c r="B10" s="172"/>
      <c r="C10"/>
      <c r="D10" s="73"/>
      <c r="I10"/>
    </row>
    <row r="11" spans="1:12" ht="30" customHeight="1" thickBot="1" x14ac:dyDescent="0.3">
      <c r="A11" s="18" t="s">
        <v>89</v>
      </c>
      <c r="B11" s="172"/>
      <c r="C11"/>
      <c r="D11" s="73"/>
      <c r="F11" s="83" t="s">
        <v>491</v>
      </c>
      <c r="I11"/>
      <c r="J11" s="240" t="s">
        <v>478</v>
      </c>
      <c r="K11" s="241"/>
      <c r="L11" s="242"/>
    </row>
    <row r="12" spans="1:12" ht="30" customHeight="1" thickBot="1" x14ac:dyDescent="0.3">
      <c r="A12" s="18" t="s">
        <v>89</v>
      </c>
      <c r="B12" s="172"/>
      <c r="C12"/>
      <c r="D12" s="73"/>
      <c r="F12" s="84">
        <f>INDEX(Começo!A:J,9,10)</f>
        <v>271</v>
      </c>
      <c r="I12"/>
      <c r="J12" s="243" t="str">
        <f>INDEX(Começo!A:K,23,11)</f>
        <v>Excelente</v>
      </c>
      <c r="K12" s="244"/>
      <c r="L12" s="245"/>
    </row>
    <row r="13" spans="1:12" ht="30" customHeight="1" thickBot="1" x14ac:dyDescent="0.3">
      <c r="A13" s="18" t="s">
        <v>89</v>
      </c>
      <c r="B13" s="172"/>
      <c r="C13"/>
      <c r="D13" s="73"/>
      <c r="I13"/>
    </row>
    <row r="14" spans="1:12" ht="30" customHeight="1" thickBot="1" x14ac:dyDescent="0.3">
      <c r="A14" s="18" t="s">
        <v>89</v>
      </c>
      <c r="B14" s="172"/>
      <c r="C14"/>
      <c r="D14" s="73"/>
      <c r="F14" s="92" t="s">
        <v>482</v>
      </c>
      <c r="H14" s="94" t="s">
        <v>86</v>
      </c>
      <c r="I14"/>
      <c r="J14" s="95" t="s">
        <v>87</v>
      </c>
    </row>
    <row r="15" spans="1:12" ht="30" customHeight="1" thickBot="1" x14ac:dyDescent="0.3">
      <c r="A15" s="18" t="s">
        <v>89</v>
      </c>
      <c r="B15" s="172"/>
      <c r="C15"/>
      <c r="D15" s="73"/>
      <c r="H15" s="93"/>
      <c r="I15"/>
      <c r="J15" s="95"/>
    </row>
    <row r="16" spans="1:12" ht="30" customHeight="1" thickBot="1" x14ac:dyDescent="0.3">
      <c r="A16" s="18" t="s">
        <v>89</v>
      </c>
      <c r="B16" s="172"/>
      <c r="C16"/>
      <c r="D16" s="73"/>
      <c r="I16"/>
    </row>
    <row r="17" spans="1:15" ht="30" customHeight="1" thickBot="1" x14ac:dyDescent="0.3">
      <c r="A17" s="18" t="s">
        <v>89</v>
      </c>
      <c r="B17" s="172"/>
      <c r="C17"/>
      <c r="D17" s="73"/>
      <c r="F17" s="89">
        <v>1</v>
      </c>
      <c r="G17" s="89"/>
      <c r="H17" s="89">
        <v>7</v>
      </c>
      <c r="I17" s="89">
        <v>15</v>
      </c>
      <c r="J17" s="89">
        <v>30</v>
      </c>
      <c r="K17" s="89">
        <v>45</v>
      </c>
      <c r="L17" s="89">
        <v>60</v>
      </c>
      <c r="M17" s="89">
        <v>60</v>
      </c>
      <c r="N17" s="89">
        <v>75</v>
      </c>
      <c r="O17" s="89">
        <v>90</v>
      </c>
    </row>
    <row r="18" spans="1:15" ht="30" customHeight="1" thickBot="1" x14ac:dyDescent="0.3">
      <c r="A18" s="18" t="s">
        <v>89</v>
      </c>
      <c r="B18" s="172"/>
      <c r="C18"/>
      <c r="D18" s="73"/>
      <c r="F18" s="88" t="s">
        <v>484</v>
      </c>
      <c r="G18" s="88"/>
      <c r="H18" s="88" t="s">
        <v>485</v>
      </c>
      <c r="I18" s="88" t="s">
        <v>486</v>
      </c>
      <c r="J18" s="88" t="s">
        <v>100</v>
      </c>
      <c r="K18" s="88" t="s">
        <v>487</v>
      </c>
      <c r="L18" s="88" t="s">
        <v>137</v>
      </c>
      <c r="M18" s="88" t="s">
        <v>137</v>
      </c>
      <c r="N18" s="88" t="s">
        <v>138</v>
      </c>
      <c r="O18" s="88" t="s">
        <v>140</v>
      </c>
    </row>
    <row r="19" spans="1:15" ht="30" customHeight="1" thickBot="1" x14ac:dyDescent="0.3">
      <c r="A19" s="18" t="s">
        <v>89</v>
      </c>
      <c r="B19" s="172"/>
      <c r="C19"/>
      <c r="D19" s="73"/>
      <c r="F19" s="89" t="s">
        <v>95</v>
      </c>
      <c r="G19" s="89"/>
      <c r="H19" s="89" t="s">
        <v>96</v>
      </c>
      <c r="I19" s="89" t="s">
        <v>97</v>
      </c>
      <c r="J19" s="89" t="s">
        <v>98</v>
      </c>
      <c r="K19" s="89" t="s">
        <v>136</v>
      </c>
      <c r="L19" s="89" t="s">
        <v>135</v>
      </c>
      <c r="M19" s="89" t="s">
        <v>135</v>
      </c>
      <c r="N19" s="89" t="s">
        <v>139</v>
      </c>
      <c r="O19" s="89" t="s">
        <v>141</v>
      </c>
    </row>
    <row r="20" spans="1:15" ht="30" customHeight="1" thickBot="1" x14ac:dyDescent="0.3">
      <c r="A20" s="18" t="s">
        <v>89</v>
      </c>
      <c r="B20" s="172"/>
      <c r="C20"/>
      <c r="D20" s="73"/>
      <c r="F20" s="90">
        <f>SUM(INDEX(Conteudo!A:L,22,5),1)</f>
        <v>45373</v>
      </c>
      <c r="G20" s="91"/>
      <c r="H20" s="90">
        <f>SUM($F$20,H17)</f>
        <v>45380</v>
      </c>
      <c r="I20" s="90">
        <f t="shared" ref="I20:O20" si="0">SUM($F$20,I17)</f>
        <v>45388</v>
      </c>
      <c r="J20" s="90">
        <f t="shared" si="0"/>
        <v>45403</v>
      </c>
      <c r="K20" s="90">
        <f t="shared" si="0"/>
        <v>45418</v>
      </c>
      <c r="L20" s="90">
        <f t="shared" si="0"/>
        <v>45433</v>
      </c>
      <c r="M20" s="90">
        <f t="shared" si="0"/>
        <v>45433</v>
      </c>
      <c r="N20" s="90">
        <f t="shared" si="0"/>
        <v>45448</v>
      </c>
      <c r="O20" s="90">
        <f t="shared" si="0"/>
        <v>45463</v>
      </c>
    </row>
    <row r="21" spans="1:15" ht="30" customHeight="1" thickBot="1" x14ac:dyDescent="0.3">
      <c r="A21" s="18" t="s">
        <v>89</v>
      </c>
      <c r="B21" s="172"/>
      <c r="C21"/>
      <c r="D21" s="73"/>
      <c r="I21"/>
    </row>
    <row r="22" spans="1:15" ht="30" customHeight="1" thickBot="1" x14ac:dyDescent="0.3">
      <c r="A22" s="18" t="s">
        <v>89</v>
      </c>
      <c r="B22" s="172"/>
      <c r="C22"/>
      <c r="D22" s="73"/>
      <c r="I22"/>
    </row>
    <row r="23" spans="1:15" ht="30" customHeight="1" thickBot="1" x14ac:dyDescent="0.3">
      <c r="A23" s="18" t="s">
        <v>89</v>
      </c>
      <c r="B23" s="172"/>
      <c r="C23"/>
      <c r="D23" s="73"/>
      <c r="I23"/>
    </row>
    <row r="24" spans="1:15" ht="30" customHeight="1" thickBot="1" x14ac:dyDescent="0.3">
      <c r="A24" s="18" t="s">
        <v>89</v>
      </c>
      <c r="B24" s="172"/>
      <c r="C24"/>
      <c r="D24" s="73"/>
      <c r="I24"/>
    </row>
    <row r="25" spans="1:15" ht="30" customHeight="1" thickBot="1" x14ac:dyDescent="0.3">
      <c r="A25" s="18" t="s">
        <v>89</v>
      </c>
      <c r="B25" s="172"/>
      <c r="C25"/>
      <c r="D25" s="73"/>
      <c r="I25"/>
    </row>
    <row r="26" spans="1:15" ht="30" customHeight="1" thickBot="1" x14ac:dyDescent="0.3">
      <c r="A26" s="18" t="s">
        <v>89</v>
      </c>
      <c r="B26" s="172"/>
      <c r="C26"/>
      <c r="D26" s="73"/>
      <c r="I26"/>
    </row>
    <row r="27" spans="1:15" ht="30" customHeight="1" thickBot="1" x14ac:dyDescent="0.3">
      <c r="A27" s="18" t="s">
        <v>89</v>
      </c>
      <c r="B27" s="172"/>
      <c r="C27"/>
      <c r="D27" s="73"/>
      <c r="I27"/>
    </row>
    <row r="28" spans="1:15" ht="30" customHeight="1" thickBot="1" x14ac:dyDescent="0.3">
      <c r="A28" s="18" t="s">
        <v>89</v>
      </c>
      <c r="B28" s="172"/>
      <c r="C28"/>
      <c r="D28" s="73"/>
      <c r="I28"/>
    </row>
    <row r="29" spans="1:15" ht="30" customHeight="1" thickBot="1" x14ac:dyDescent="0.3">
      <c r="A29" s="18" t="s">
        <v>89</v>
      </c>
      <c r="B29" s="172"/>
      <c r="C29"/>
      <c r="D29" s="73"/>
      <c r="I29"/>
    </row>
    <row r="30" spans="1:15" ht="30" customHeight="1" thickBot="1" x14ac:dyDescent="0.3">
      <c r="A30" s="18" t="s">
        <v>89</v>
      </c>
      <c r="B30" s="172"/>
      <c r="C30"/>
      <c r="D30" s="73"/>
      <c r="I30"/>
    </row>
    <row r="31" spans="1:15" x14ac:dyDescent="0.25">
      <c r="A31"/>
      <c r="B31"/>
      <c r="C31"/>
      <c r="D31" s="73"/>
    </row>
  </sheetData>
  <sheetProtection algorithmName="SHA-512" hashValue="v2MX+OQeGCl5Q33Qyge6auBlgmfCLHA9bxz0OStqVUn/KmGkLWY6PN4oNbUGI8+kb5/5fCpR6eiYiU+iqWskdg==" saltValue="SYwH4AV6J0ezZxTSL/dd9g==" spinCount="100000" sheet="1" objects="1" scenarios="1"/>
  <mergeCells count="16">
    <mergeCell ref="J11:L11"/>
    <mergeCell ref="J12:L12"/>
    <mergeCell ref="A4:A5"/>
    <mergeCell ref="E4:E5"/>
    <mergeCell ref="F4:F5"/>
    <mergeCell ref="G4:G5"/>
    <mergeCell ref="H4:H5"/>
    <mergeCell ref="I4:I5"/>
    <mergeCell ref="J4:J5"/>
    <mergeCell ref="K4:K5"/>
    <mergeCell ref="L4:L5"/>
    <mergeCell ref="B1:B5"/>
    <mergeCell ref="F2:F3"/>
    <mergeCell ref="H2:H3"/>
    <mergeCell ref="J2:J3"/>
    <mergeCell ref="L2:L3"/>
  </mergeCells>
  <conditionalFormatting sqref="H9">
    <cfRule type="containsText" dxfId="125" priority="4" operator="containsText" text="Difícil">
      <formula>NOT(ISERROR(SEARCH("Difícil",H9)))</formula>
    </cfRule>
    <cfRule type="containsText" dxfId="124" priority="5" operator="containsText" text="Médio">
      <formula>NOT(ISERROR(SEARCH("Médio",H9)))</formula>
    </cfRule>
    <cfRule type="containsText" dxfId="123" priority="6" operator="containsText" text="Facíl">
      <formula>NOT(ISERROR(SEARCH("Facíl",H9)))</formula>
    </cfRule>
  </conditionalFormatting>
  <conditionalFormatting sqref="H14">
    <cfRule type="containsText" dxfId="122" priority="1" operator="containsText" text="Difícil">
      <formula>NOT(ISERROR(SEARCH("Difícil",H14)))</formula>
    </cfRule>
    <cfRule type="containsText" dxfId="121" priority="2" operator="containsText" text="Médio">
      <formula>NOT(ISERROR(SEARCH("Médio",H14)))</formula>
    </cfRule>
    <cfRule type="containsText" dxfId="120" priority="3" operator="containsText" text="Facíl">
      <formula>NOT(ISERROR(SEARCH("Facíl",H14)))</formula>
    </cfRule>
  </conditionalFormatting>
  <hyperlinks>
    <hyperlink ref="F14" r:id="rId1" tooltip="Site de Simulado" xr:uid="{00000000-0004-0000-0E00-000000000000}"/>
    <hyperlink ref="H14:H15" r:id="rId2" tooltip="Pagina de Pesquisa do Google" display="Google" xr:uid="{00000000-0004-0000-0E00-000001000000}"/>
    <hyperlink ref="J14:J15" r:id="rId3" tooltip="Pagina do Youtube " display="Youtube" xr:uid="{00000000-0004-0000-0E00-000002000000}"/>
    <hyperlink ref="L7" location="Conteudo!A1" display="◄ Voltar" xr:uid="{00000000-0004-0000-0E00-000003000000}"/>
  </hyperlinks>
  <pageMargins left="0.511811024" right="0.511811024" top="0.78740157499999996" bottom="0.78740157499999996" header="0.31496062000000002" footer="0.31496062000000002"/>
  <drawing r:id="rId4"/>
  <legacyDrawing r:id="rId5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6"/>
  <dimension ref="A1:O31"/>
  <sheetViews>
    <sheetView showGridLines="0" showRowColHeaders="0" workbookViewId="0">
      <selection activeCell="B6" sqref="B6:B30"/>
    </sheetView>
  </sheetViews>
  <sheetFormatPr defaultRowHeight="15" x14ac:dyDescent="0.25"/>
  <cols>
    <col min="1" max="1" width="3.140625" style="78" customWidth="1"/>
    <col min="2" max="2" width="42" style="78" customWidth="1"/>
    <col min="3" max="4" width="0.85546875" style="78" customWidth="1"/>
    <col min="5" max="5" width="1.5703125" style="78" customWidth="1"/>
    <col min="6" max="6" width="14.7109375" style="78" customWidth="1"/>
    <col min="7" max="7" width="14.7109375" style="78" hidden="1" customWidth="1"/>
    <col min="8" max="8" width="14.7109375" style="78" customWidth="1"/>
    <col min="9" max="9" width="14.7109375" style="78" hidden="1" customWidth="1"/>
    <col min="10" max="10" width="14.7109375" style="78" customWidth="1"/>
    <col min="11" max="11" width="14.7109375" style="78" hidden="1" customWidth="1"/>
    <col min="12" max="16" width="14.7109375" style="78" customWidth="1"/>
    <col min="17" max="16384" width="9.140625" style="78"/>
  </cols>
  <sheetData>
    <row r="1" spans="1:12" ht="8.25" customHeight="1" thickBot="1" x14ac:dyDescent="0.3">
      <c r="A1" s="73"/>
      <c r="B1" s="234" t="str">
        <f>VLOOKUP(A4,Começo!A:C,3,0)</f>
        <v>Análise de Sistemas</v>
      </c>
      <c r="C1" s="73"/>
      <c r="D1" s="73"/>
    </row>
    <row r="2" spans="1:12" ht="15.75" customHeight="1" thickBot="1" x14ac:dyDescent="0.3">
      <c r="A2" s="73"/>
      <c r="B2" s="234"/>
      <c r="C2" s="73"/>
      <c r="D2" s="73"/>
      <c r="F2" s="231" t="s">
        <v>488</v>
      </c>
      <c r="G2" s="85"/>
      <c r="H2" s="237" t="s">
        <v>489</v>
      </c>
      <c r="I2" s="86"/>
      <c r="J2" s="237" t="s">
        <v>85</v>
      </c>
      <c r="K2" s="86"/>
      <c r="L2" s="231" t="s">
        <v>490</v>
      </c>
    </row>
    <row r="3" spans="1:12" ht="15.75" customHeight="1" thickBot="1" x14ac:dyDescent="0.3">
      <c r="A3" s="73"/>
      <c r="B3" s="234"/>
      <c r="C3" s="73"/>
      <c r="D3" s="73"/>
      <c r="F3" s="231"/>
      <c r="G3" s="85"/>
      <c r="H3" s="237"/>
      <c r="I3" s="86"/>
      <c r="J3" s="237"/>
      <c r="K3" s="86"/>
      <c r="L3" s="231"/>
    </row>
    <row r="4" spans="1:12" ht="15.75" customHeight="1" thickBot="1" x14ac:dyDescent="0.3">
      <c r="A4" s="230">
        <v>11</v>
      </c>
      <c r="B4" s="234"/>
      <c r="C4" s="74"/>
      <c r="D4" s="74"/>
      <c r="E4" s="233">
        <v>1</v>
      </c>
      <c r="F4" s="232">
        <f>INDEX(Conteudo!A:R,23,5)</f>
        <v>45373</v>
      </c>
      <c r="G4" s="238">
        <v>1</v>
      </c>
      <c r="H4" s="239">
        <f>INDEX(Conteudo!A:R,23,6)</f>
        <v>25</v>
      </c>
      <c r="I4" s="236">
        <v>1</v>
      </c>
      <c r="J4" s="239">
        <f>INDEX(Conteudo!A:R,23,7)</f>
        <v>21</v>
      </c>
      <c r="K4" s="236">
        <v>1</v>
      </c>
      <c r="L4" s="235">
        <f>INDEX(Conteudo!A:R,23,8)</f>
        <v>0.84</v>
      </c>
    </row>
    <row r="5" spans="1:12" ht="15.75" customHeight="1" thickBot="1" x14ac:dyDescent="0.3">
      <c r="A5" s="230"/>
      <c r="B5" s="234"/>
      <c r="C5" s="74"/>
      <c r="D5" s="74"/>
      <c r="E5" s="233"/>
      <c r="F5" s="232"/>
      <c r="G5" s="238"/>
      <c r="H5" s="239"/>
      <c r="I5" s="236"/>
      <c r="J5" s="239"/>
      <c r="K5" s="236"/>
      <c r="L5" s="235"/>
    </row>
    <row r="6" spans="1:12" ht="30" customHeight="1" thickBot="1" x14ac:dyDescent="0.3">
      <c r="A6" s="18" t="s">
        <v>89</v>
      </c>
      <c r="B6" s="171"/>
      <c r="C6"/>
      <c r="D6" s="73"/>
    </row>
    <row r="7" spans="1:12" ht="30" customHeight="1" thickBot="1" x14ac:dyDescent="0.3">
      <c r="A7" s="18" t="s">
        <v>89</v>
      </c>
      <c r="B7" s="172"/>
      <c r="C7" s="61"/>
      <c r="D7" s="73"/>
      <c r="F7" s="80" t="s">
        <v>79</v>
      </c>
      <c r="G7" s="79"/>
      <c r="H7" s="81">
        <f>IF(Começo!D9="","",INDEX(Começo!A:E,9,4))</f>
        <v>45334</v>
      </c>
      <c r="I7" s="75"/>
      <c r="L7" s="98" t="s">
        <v>493</v>
      </c>
    </row>
    <row r="8" spans="1:12" ht="30" customHeight="1" thickBot="1" x14ac:dyDescent="0.3">
      <c r="A8" s="18" t="s">
        <v>89</v>
      </c>
      <c r="B8" s="172"/>
      <c r="C8" s="61"/>
      <c r="D8" s="73"/>
      <c r="F8" s="80" t="s">
        <v>39</v>
      </c>
      <c r="G8" s="79"/>
      <c r="H8" s="87" t="str">
        <f>IF(Começo!D10="","",INDEX(Começo!A:E,10,4))</f>
        <v>Perito Criminal</v>
      </c>
      <c r="I8" s="76"/>
    </row>
    <row r="9" spans="1:12" ht="30" customHeight="1" thickBot="1" x14ac:dyDescent="0.3">
      <c r="A9" s="18" t="s">
        <v>89</v>
      </c>
      <c r="B9" s="172"/>
      <c r="C9"/>
      <c r="D9" s="73"/>
      <c r="F9" s="80" t="s">
        <v>1</v>
      </c>
      <c r="G9" s="79"/>
      <c r="H9" s="82" t="str">
        <f>INDEX(Começo!A:G,11,4)</f>
        <v>Médio</v>
      </c>
      <c r="I9" s="77"/>
    </row>
    <row r="10" spans="1:12" ht="30" customHeight="1" thickBot="1" x14ac:dyDescent="0.3">
      <c r="A10" s="18" t="s">
        <v>89</v>
      </c>
      <c r="B10" s="172"/>
      <c r="C10"/>
      <c r="D10" s="73"/>
      <c r="I10"/>
    </row>
    <row r="11" spans="1:12" ht="30" customHeight="1" thickBot="1" x14ac:dyDescent="0.3">
      <c r="A11" s="18" t="s">
        <v>89</v>
      </c>
      <c r="B11" s="172"/>
      <c r="C11"/>
      <c r="D11" s="73"/>
      <c r="F11" s="83" t="s">
        <v>491</v>
      </c>
      <c r="I11"/>
      <c r="J11" s="240" t="s">
        <v>478</v>
      </c>
      <c r="K11" s="241"/>
      <c r="L11" s="242"/>
    </row>
    <row r="12" spans="1:12" ht="30" customHeight="1" thickBot="1" x14ac:dyDescent="0.3">
      <c r="A12" s="18" t="s">
        <v>89</v>
      </c>
      <c r="B12" s="172"/>
      <c r="C12"/>
      <c r="D12" s="73"/>
      <c r="F12" s="84">
        <f>INDEX(Começo!A:J,9,10)</f>
        <v>271</v>
      </c>
      <c r="I12"/>
      <c r="J12" s="243" t="str">
        <f>INDEX(Começo!A:K,24,11)</f>
        <v>Bom</v>
      </c>
      <c r="K12" s="244"/>
      <c r="L12" s="245"/>
    </row>
    <row r="13" spans="1:12" ht="30" customHeight="1" thickBot="1" x14ac:dyDescent="0.3">
      <c r="A13" s="18" t="s">
        <v>89</v>
      </c>
      <c r="B13" s="172"/>
      <c r="C13"/>
      <c r="D13" s="73"/>
      <c r="I13"/>
    </row>
    <row r="14" spans="1:12" ht="30" customHeight="1" thickBot="1" x14ac:dyDescent="0.3">
      <c r="A14" s="18" t="s">
        <v>89</v>
      </c>
      <c r="B14" s="172"/>
      <c r="C14"/>
      <c r="D14" s="73"/>
      <c r="F14" s="92" t="s">
        <v>482</v>
      </c>
      <c r="H14" s="94" t="s">
        <v>86</v>
      </c>
      <c r="I14"/>
      <c r="J14" s="95" t="s">
        <v>87</v>
      </c>
    </row>
    <row r="15" spans="1:12" ht="30" customHeight="1" thickBot="1" x14ac:dyDescent="0.3">
      <c r="A15" s="18" t="s">
        <v>89</v>
      </c>
      <c r="B15" s="172"/>
      <c r="C15"/>
      <c r="D15" s="73"/>
      <c r="H15" s="93"/>
      <c r="I15"/>
      <c r="J15" s="95"/>
    </row>
    <row r="16" spans="1:12" ht="30" customHeight="1" thickBot="1" x14ac:dyDescent="0.3">
      <c r="A16" s="18" t="s">
        <v>89</v>
      </c>
      <c r="B16" s="172"/>
      <c r="C16"/>
      <c r="D16" s="73"/>
      <c r="I16"/>
    </row>
    <row r="17" spans="1:15" ht="30" customHeight="1" thickBot="1" x14ac:dyDescent="0.3">
      <c r="A17" s="18" t="s">
        <v>89</v>
      </c>
      <c r="B17" s="172"/>
      <c r="C17"/>
      <c r="D17" s="73"/>
      <c r="F17" s="89">
        <v>1</v>
      </c>
      <c r="G17" s="89"/>
      <c r="H17" s="89">
        <v>7</v>
      </c>
      <c r="I17" s="89">
        <v>15</v>
      </c>
      <c r="J17" s="89">
        <v>30</v>
      </c>
      <c r="K17" s="89">
        <v>45</v>
      </c>
      <c r="L17" s="89">
        <v>60</v>
      </c>
      <c r="M17" s="89">
        <v>60</v>
      </c>
      <c r="N17" s="89">
        <v>75</v>
      </c>
      <c r="O17" s="89">
        <v>90</v>
      </c>
    </row>
    <row r="18" spans="1:15" ht="30" customHeight="1" thickBot="1" x14ac:dyDescent="0.3">
      <c r="A18" s="18" t="s">
        <v>89</v>
      </c>
      <c r="B18" s="172"/>
      <c r="C18"/>
      <c r="D18" s="73"/>
      <c r="F18" s="88" t="s">
        <v>484</v>
      </c>
      <c r="G18" s="88"/>
      <c r="H18" s="88" t="s">
        <v>485</v>
      </c>
      <c r="I18" s="88" t="s">
        <v>486</v>
      </c>
      <c r="J18" s="88" t="s">
        <v>100</v>
      </c>
      <c r="K18" s="88" t="s">
        <v>487</v>
      </c>
      <c r="L18" s="88" t="s">
        <v>137</v>
      </c>
      <c r="M18" s="88" t="s">
        <v>137</v>
      </c>
      <c r="N18" s="88" t="s">
        <v>138</v>
      </c>
      <c r="O18" s="88" t="s">
        <v>140</v>
      </c>
    </row>
    <row r="19" spans="1:15" ht="30" customHeight="1" thickBot="1" x14ac:dyDescent="0.3">
      <c r="A19" s="18" t="s">
        <v>89</v>
      </c>
      <c r="B19" s="172"/>
      <c r="C19"/>
      <c r="D19" s="73"/>
      <c r="F19" s="89" t="s">
        <v>95</v>
      </c>
      <c r="G19" s="89"/>
      <c r="H19" s="89" t="s">
        <v>96</v>
      </c>
      <c r="I19" s="89" t="s">
        <v>97</v>
      </c>
      <c r="J19" s="89" t="s">
        <v>98</v>
      </c>
      <c r="K19" s="89" t="s">
        <v>136</v>
      </c>
      <c r="L19" s="89" t="s">
        <v>135</v>
      </c>
      <c r="M19" s="89" t="s">
        <v>135</v>
      </c>
      <c r="N19" s="89" t="s">
        <v>139</v>
      </c>
      <c r="O19" s="89" t="s">
        <v>141</v>
      </c>
    </row>
    <row r="20" spans="1:15" ht="30" customHeight="1" thickBot="1" x14ac:dyDescent="0.3">
      <c r="A20" s="18" t="s">
        <v>89</v>
      </c>
      <c r="B20" s="172"/>
      <c r="C20"/>
      <c r="D20" s="73"/>
      <c r="F20" s="90">
        <f>SUM(INDEX(Conteudo!A:L,23,5),1)</f>
        <v>45374</v>
      </c>
      <c r="G20" s="91"/>
      <c r="H20" s="90">
        <f>SUM($F$20,H17)</f>
        <v>45381</v>
      </c>
      <c r="I20" s="90">
        <f t="shared" ref="I20:O20" si="0">SUM($F$20,I17)</f>
        <v>45389</v>
      </c>
      <c r="J20" s="90">
        <f t="shared" si="0"/>
        <v>45404</v>
      </c>
      <c r="K20" s="90">
        <f t="shared" si="0"/>
        <v>45419</v>
      </c>
      <c r="L20" s="90">
        <f t="shared" si="0"/>
        <v>45434</v>
      </c>
      <c r="M20" s="90">
        <f t="shared" si="0"/>
        <v>45434</v>
      </c>
      <c r="N20" s="90">
        <f t="shared" si="0"/>
        <v>45449</v>
      </c>
      <c r="O20" s="90">
        <f t="shared" si="0"/>
        <v>45464</v>
      </c>
    </row>
    <row r="21" spans="1:15" ht="30" customHeight="1" thickBot="1" x14ac:dyDescent="0.3">
      <c r="A21" s="18" t="s">
        <v>89</v>
      </c>
      <c r="B21" s="172"/>
      <c r="C21"/>
      <c r="D21" s="73"/>
      <c r="I21"/>
    </row>
    <row r="22" spans="1:15" ht="30" customHeight="1" thickBot="1" x14ac:dyDescent="0.3">
      <c r="A22" s="18" t="s">
        <v>89</v>
      </c>
      <c r="B22" s="172"/>
      <c r="C22"/>
      <c r="D22" s="73"/>
      <c r="I22"/>
    </row>
    <row r="23" spans="1:15" ht="30" customHeight="1" thickBot="1" x14ac:dyDescent="0.3">
      <c r="A23" s="18" t="s">
        <v>89</v>
      </c>
      <c r="B23" s="172"/>
      <c r="C23"/>
      <c r="D23" s="73"/>
      <c r="I23"/>
    </row>
    <row r="24" spans="1:15" ht="30" customHeight="1" thickBot="1" x14ac:dyDescent="0.3">
      <c r="A24" s="18" t="s">
        <v>89</v>
      </c>
      <c r="B24" s="172"/>
      <c r="C24"/>
      <c r="D24" s="73"/>
      <c r="I24"/>
    </row>
    <row r="25" spans="1:15" ht="30" customHeight="1" thickBot="1" x14ac:dyDescent="0.3">
      <c r="A25" s="18" t="s">
        <v>89</v>
      </c>
      <c r="B25" s="172"/>
      <c r="C25"/>
      <c r="D25" s="73"/>
      <c r="I25"/>
    </row>
    <row r="26" spans="1:15" ht="30" customHeight="1" thickBot="1" x14ac:dyDescent="0.3">
      <c r="A26" s="18" t="s">
        <v>89</v>
      </c>
      <c r="B26" s="172"/>
      <c r="C26"/>
      <c r="D26" s="73"/>
      <c r="I26"/>
    </row>
    <row r="27" spans="1:15" ht="30" customHeight="1" thickBot="1" x14ac:dyDescent="0.3">
      <c r="A27" s="18" t="s">
        <v>89</v>
      </c>
      <c r="B27" s="172"/>
      <c r="C27"/>
      <c r="D27" s="73"/>
      <c r="I27"/>
    </row>
    <row r="28" spans="1:15" ht="30" customHeight="1" thickBot="1" x14ac:dyDescent="0.3">
      <c r="A28" s="18" t="s">
        <v>89</v>
      </c>
      <c r="B28" s="172"/>
      <c r="C28"/>
      <c r="D28" s="73"/>
      <c r="I28"/>
    </row>
    <row r="29" spans="1:15" ht="30" customHeight="1" thickBot="1" x14ac:dyDescent="0.3">
      <c r="A29" s="18" t="s">
        <v>89</v>
      </c>
      <c r="B29" s="172"/>
      <c r="C29"/>
      <c r="D29" s="73"/>
      <c r="I29"/>
    </row>
    <row r="30" spans="1:15" ht="30" customHeight="1" thickBot="1" x14ac:dyDescent="0.3">
      <c r="A30" s="18" t="s">
        <v>89</v>
      </c>
      <c r="B30" s="172"/>
      <c r="C30"/>
      <c r="D30" s="73"/>
      <c r="I30"/>
    </row>
    <row r="31" spans="1:15" x14ac:dyDescent="0.25">
      <c r="A31"/>
      <c r="B31"/>
      <c r="C31"/>
      <c r="D31" s="73"/>
    </row>
  </sheetData>
  <sheetProtection algorithmName="SHA-512" hashValue="JXG2Q4xxND+yw1ziexuRPlqZexP59y5OHF4j/6eJbspGgaDseXVDKe+Yw/Ji1BDkw0N2NesPqsD00kCdo3nxVg==" saltValue="NN4AO6TOSQpHZHfJXwA+sg==" spinCount="100000" sheet="1" objects="1" scenarios="1"/>
  <mergeCells count="16">
    <mergeCell ref="J11:L11"/>
    <mergeCell ref="J12:L12"/>
    <mergeCell ref="A4:A5"/>
    <mergeCell ref="E4:E5"/>
    <mergeCell ref="F4:F5"/>
    <mergeCell ref="G4:G5"/>
    <mergeCell ref="H4:H5"/>
    <mergeCell ref="I4:I5"/>
    <mergeCell ref="J4:J5"/>
    <mergeCell ref="K4:K5"/>
    <mergeCell ref="L4:L5"/>
    <mergeCell ref="B1:B5"/>
    <mergeCell ref="F2:F3"/>
    <mergeCell ref="H2:H3"/>
    <mergeCell ref="J2:J3"/>
    <mergeCell ref="L2:L3"/>
  </mergeCells>
  <conditionalFormatting sqref="H9">
    <cfRule type="containsText" dxfId="119" priority="4" operator="containsText" text="Difícil">
      <formula>NOT(ISERROR(SEARCH("Difícil",H9)))</formula>
    </cfRule>
    <cfRule type="containsText" dxfId="118" priority="5" operator="containsText" text="Médio">
      <formula>NOT(ISERROR(SEARCH("Médio",H9)))</formula>
    </cfRule>
    <cfRule type="containsText" dxfId="117" priority="6" operator="containsText" text="Facíl">
      <formula>NOT(ISERROR(SEARCH("Facíl",H9)))</formula>
    </cfRule>
  </conditionalFormatting>
  <conditionalFormatting sqref="H14">
    <cfRule type="containsText" dxfId="116" priority="1" operator="containsText" text="Difícil">
      <formula>NOT(ISERROR(SEARCH("Difícil",H14)))</formula>
    </cfRule>
    <cfRule type="containsText" dxfId="115" priority="2" operator="containsText" text="Médio">
      <formula>NOT(ISERROR(SEARCH("Médio",H14)))</formula>
    </cfRule>
    <cfRule type="containsText" dxfId="114" priority="3" operator="containsText" text="Facíl">
      <formula>NOT(ISERROR(SEARCH("Facíl",H14)))</formula>
    </cfRule>
  </conditionalFormatting>
  <hyperlinks>
    <hyperlink ref="F14" r:id="rId1" tooltip="Site de Simulado" xr:uid="{00000000-0004-0000-0F00-000000000000}"/>
    <hyperlink ref="H14:H15" r:id="rId2" tooltip="Pagina de Pesquisa do Google" display="Google" xr:uid="{00000000-0004-0000-0F00-000001000000}"/>
    <hyperlink ref="J14:J15" r:id="rId3" tooltip="Pagina do Youtube " display="Youtube" xr:uid="{00000000-0004-0000-0F00-000002000000}"/>
    <hyperlink ref="L7" location="Conteudo!A1" display="◄ Voltar" xr:uid="{00000000-0004-0000-0F00-000003000000}"/>
  </hyperlinks>
  <pageMargins left="0.511811024" right="0.511811024" top="0.78740157499999996" bottom="0.78740157499999996" header="0.31496062000000002" footer="0.31496062000000002"/>
  <drawing r:id="rId4"/>
  <legacyDrawing r:id="rId5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7"/>
  <dimension ref="A1:O31"/>
  <sheetViews>
    <sheetView showGridLines="0" showRowColHeaders="0" workbookViewId="0">
      <selection activeCell="B6" sqref="B6:B30"/>
    </sheetView>
  </sheetViews>
  <sheetFormatPr defaultRowHeight="15" x14ac:dyDescent="0.25"/>
  <cols>
    <col min="1" max="1" width="3.140625" style="78" customWidth="1"/>
    <col min="2" max="2" width="42" style="78" customWidth="1"/>
    <col min="3" max="4" width="0.85546875" style="78" customWidth="1"/>
    <col min="5" max="5" width="1.5703125" style="78" customWidth="1"/>
    <col min="6" max="6" width="14.7109375" style="78" customWidth="1"/>
    <col min="7" max="7" width="14.7109375" style="78" hidden="1" customWidth="1"/>
    <col min="8" max="8" width="14.7109375" style="78" customWidth="1"/>
    <col min="9" max="9" width="14.7109375" style="78" hidden="1" customWidth="1"/>
    <col min="10" max="10" width="14.7109375" style="78" customWidth="1"/>
    <col min="11" max="11" width="14.7109375" style="78" hidden="1" customWidth="1"/>
    <col min="12" max="16" width="14.7109375" style="78" customWidth="1"/>
    <col min="17" max="16384" width="9.140625" style="78"/>
  </cols>
  <sheetData>
    <row r="1" spans="1:12" ht="8.25" customHeight="1" thickBot="1" x14ac:dyDescent="0.3">
      <c r="A1" s="73"/>
      <c r="B1" s="234" t="str">
        <f>VLOOKUP(A4,Começo!A:C,3,0)</f>
        <v>Direito Legislativo</v>
      </c>
      <c r="C1" s="73"/>
      <c r="D1" s="73"/>
    </row>
    <row r="2" spans="1:12" ht="15.75" customHeight="1" thickBot="1" x14ac:dyDescent="0.3">
      <c r="A2" s="73"/>
      <c r="B2" s="234"/>
      <c r="C2" s="73"/>
      <c r="D2" s="73"/>
      <c r="F2" s="231" t="s">
        <v>488</v>
      </c>
      <c r="G2" s="85"/>
      <c r="H2" s="237" t="s">
        <v>489</v>
      </c>
      <c r="I2" s="86"/>
      <c r="J2" s="237" t="s">
        <v>85</v>
      </c>
      <c r="K2" s="86"/>
      <c r="L2" s="231" t="s">
        <v>490</v>
      </c>
    </row>
    <row r="3" spans="1:12" ht="15.75" customHeight="1" thickBot="1" x14ac:dyDescent="0.3">
      <c r="A3" s="73"/>
      <c r="B3" s="234"/>
      <c r="C3" s="73"/>
      <c r="D3" s="73"/>
      <c r="F3" s="231"/>
      <c r="G3" s="85"/>
      <c r="H3" s="237"/>
      <c r="I3" s="86"/>
      <c r="J3" s="237"/>
      <c r="K3" s="86"/>
      <c r="L3" s="231"/>
    </row>
    <row r="4" spans="1:12" ht="15.75" customHeight="1" thickBot="1" x14ac:dyDescent="0.3">
      <c r="A4" s="230">
        <v>12</v>
      </c>
      <c r="B4" s="234"/>
      <c r="C4" s="74"/>
      <c r="D4" s="74"/>
      <c r="E4" s="233">
        <v>1</v>
      </c>
      <c r="F4" s="232">
        <f>INDEX(Conteudo!A:R,24,5)</f>
        <v>45374</v>
      </c>
      <c r="G4" s="238">
        <v>1</v>
      </c>
      <c r="H4" s="239">
        <f>INDEX(Conteudo!A:R,24,6)</f>
        <v>30</v>
      </c>
      <c r="I4" s="236">
        <v>1</v>
      </c>
      <c r="J4" s="239">
        <f>INDEX(Conteudo!A:R,24,7)</f>
        <v>26</v>
      </c>
      <c r="K4" s="236">
        <v>1</v>
      </c>
      <c r="L4" s="235">
        <f>INDEX(Conteudo!A:R,24,8)</f>
        <v>0.8666666666666667</v>
      </c>
    </row>
    <row r="5" spans="1:12" ht="15.75" customHeight="1" thickBot="1" x14ac:dyDescent="0.3">
      <c r="A5" s="230"/>
      <c r="B5" s="234"/>
      <c r="C5" s="74"/>
      <c r="D5" s="74"/>
      <c r="E5" s="233"/>
      <c r="F5" s="232"/>
      <c r="G5" s="238"/>
      <c r="H5" s="239"/>
      <c r="I5" s="236"/>
      <c r="J5" s="239"/>
      <c r="K5" s="236"/>
      <c r="L5" s="235"/>
    </row>
    <row r="6" spans="1:12" ht="30" customHeight="1" thickBot="1" x14ac:dyDescent="0.3">
      <c r="A6" s="18" t="s">
        <v>89</v>
      </c>
      <c r="B6" s="171"/>
      <c r="C6"/>
      <c r="D6" s="73"/>
    </row>
    <row r="7" spans="1:12" ht="30" customHeight="1" thickBot="1" x14ac:dyDescent="0.3">
      <c r="A7" s="18" t="s">
        <v>89</v>
      </c>
      <c r="B7" s="172"/>
      <c r="C7" s="61"/>
      <c r="D7" s="73"/>
      <c r="F7" s="80" t="s">
        <v>79</v>
      </c>
      <c r="G7" s="79"/>
      <c r="H7" s="81">
        <f>IF(Começo!D9="","",INDEX(Começo!A:E,9,4))</f>
        <v>45334</v>
      </c>
      <c r="I7" s="75"/>
      <c r="L7" s="98" t="s">
        <v>493</v>
      </c>
    </row>
    <row r="8" spans="1:12" ht="30" customHeight="1" thickBot="1" x14ac:dyDescent="0.3">
      <c r="A8" s="18" t="s">
        <v>89</v>
      </c>
      <c r="B8" s="172"/>
      <c r="C8" s="61"/>
      <c r="D8" s="73"/>
      <c r="F8" s="80" t="s">
        <v>39</v>
      </c>
      <c r="G8" s="79"/>
      <c r="H8" s="87" t="str">
        <f>IF(Começo!D10="","",INDEX(Começo!A:E,10,4))</f>
        <v>Perito Criminal</v>
      </c>
      <c r="I8" s="76"/>
    </row>
    <row r="9" spans="1:12" ht="30" customHeight="1" thickBot="1" x14ac:dyDescent="0.3">
      <c r="A9" s="18" t="s">
        <v>89</v>
      </c>
      <c r="B9" s="172"/>
      <c r="C9"/>
      <c r="D9" s="73"/>
      <c r="F9" s="80" t="s">
        <v>1</v>
      </c>
      <c r="G9" s="79"/>
      <c r="H9" s="82" t="str">
        <f>INDEX(Começo!A:G,11,4)</f>
        <v>Médio</v>
      </c>
      <c r="I9" s="77"/>
    </row>
    <row r="10" spans="1:12" ht="30" customHeight="1" thickBot="1" x14ac:dyDescent="0.3">
      <c r="A10" s="18" t="s">
        <v>89</v>
      </c>
      <c r="B10" s="172"/>
      <c r="C10"/>
      <c r="D10" s="73"/>
      <c r="I10"/>
    </row>
    <row r="11" spans="1:12" ht="30" customHeight="1" thickBot="1" x14ac:dyDescent="0.3">
      <c r="A11" s="18" t="s">
        <v>89</v>
      </c>
      <c r="B11" s="172"/>
      <c r="C11"/>
      <c r="D11" s="73"/>
      <c r="F11" s="83" t="s">
        <v>491</v>
      </c>
      <c r="I11"/>
      <c r="J11" s="240" t="s">
        <v>478</v>
      </c>
      <c r="K11" s="241"/>
      <c r="L11" s="242"/>
    </row>
    <row r="12" spans="1:12" ht="30" customHeight="1" thickBot="1" x14ac:dyDescent="0.3">
      <c r="A12" s="18" t="s">
        <v>89</v>
      </c>
      <c r="B12" s="172"/>
      <c r="C12"/>
      <c r="D12" s="73"/>
      <c r="F12" s="84">
        <f>INDEX(Começo!A:J,9,10)</f>
        <v>271</v>
      </c>
      <c r="I12"/>
      <c r="J12" s="243" t="str">
        <f>INDEX(Começo!A:K,25,11)</f>
        <v>Excelente</v>
      </c>
      <c r="K12" s="244"/>
      <c r="L12" s="245"/>
    </row>
    <row r="13" spans="1:12" ht="30" customHeight="1" thickBot="1" x14ac:dyDescent="0.3">
      <c r="A13" s="18" t="s">
        <v>89</v>
      </c>
      <c r="B13" s="172"/>
      <c r="C13"/>
      <c r="D13" s="73"/>
      <c r="I13"/>
    </row>
    <row r="14" spans="1:12" ht="30" customHeight="1" thickBot="1" x14ac:dyDescent="0.3">
      <c r="A14" s="18" t="s">
        <v>89</v>
      </c>
      <c r="B14" s="172"/>
      <c r="C14"/>
      <c r="D14" s="73"/>
      <c r="F14" s="92" t="s">
        <v>482</v>
      </c>
      <c r="H14" s="94" t="s">
        <v>86</v>
      </c>
      <c r="I14"/>
      <c r="J14" s="95" t="s">
        <v>87</v>
      </c>
    </row>
    <row r="15" spans="1:12" ht="30" customHeight="1" thickBot="1" x14ac:dyDescent="0.3">
      <c r="A15" s="18" t="s">
        <v>89</v>
      </c>
      <c r="B15" s="172"/>
      <c r="C15"/>
      <c r="D15" s="73"/>
      <c r="H15" s="93"/>
      <c r="I15"/>
      <c r="J15" s="95"/>
    </row>
    <row r="16" spans="1:12" ht="30" customHeight="1" thickBot="1" x14ac:dyDescent="0.3">
      <c r="A16" s="18" t="s">
        <v>89</v>
      </c>
      <c r="B16" s="172"/>
      <c r="C16"/>
      <c r="D16" s="73"/>
      <c r="I16"/>
    </row>
    <row r="17" spans="1:15" ht="30" customHeight="1" thickBot="1" x14ac:dyDescent="0.3">
      <c r="A17" s="18" t="s">
        <v>89</v>
      </c>
      <c r="B17" s="172"/>
      <c r="C17"/>
      <c r="D17" s="73"/>
      <c r="F17" s="89">
        <v>1</v>
      </c>
      <c r="G17" s="89"/>
      <c r="H17" s="89">
        <v>7</v>
      </c>
      <c r="I17" s="89">
        <v>15</v>
      </c>
      <c r="J17" s="89">
        <v>30</v>
      </c>
      <c r="K17" s="89">
        <v>45</v>
      </c>
      <c r="L17" s="89">
        <v>60</v>
      </c>
      <c r="M17" s="89">
        <v>60</v>
      </c>
      <c r="N17" s="89">
        <v>75</v>
      </c>
      <c r="O17" s="89">
        <v>90</v>
      </c>
    </row>
    <row r="18" spans="1:15" ht="30" customHeight="1" thickBot="1" x14ac:dyDescent="0.3">
      <c r="A18" s="18" t="s">
        <v>89</v>
      </c>
      <c r="B18" s="172"/>
      <c r="C18"/>
      <c r="D18" s="73"/>
      <c r="F18" s="88" t="s">
        <v>484</v>
      </c>
      <c r="G18" s="88"/>
      <c r="H18" s="88" t="s">
        <v>485</v>
      </c>
      <c r="I18" s="88" t="s">
        <v>486</v>
      </c>
      <c r="J18" s="88" t="s">
        <v>100</v>
      </c>
      <c r="K18" s="88" t="s">
        <v>487</v>
      </c>
      <c r="L18" s="88" t="s">
        <v>137</v>
      </c>
      <c r="M18" s="88" t="s">
        <v>137</v>
      </c>
      <c r="N18" s="88" t="s">
        <v>138</v>
      </c>
      <c r="O18" s="88" t="s">
        <v>140</v>
      </c>
    </row>
    <row r="19" spans="1:15" ht="30" customHeight="1" thickBot="1" x14ac:dyDescent="0.3">
      <c r="A19" s="18" t="s">
        <v>89</v>
      </c>
      <c r="B19" s="172"/>
      <c r="C19"/>
      <c r="D19" s="73"/>
      <c r="F19" s="89" t="s">
        <v>95</v>
      </c>
      <c r="G19" s="89"/>
      <c r="H19" s="89" t="s">
        <v>96</v>
      </c>
      <c r="I19" s="89" t="s">
        <v>97</v>
      </c>
      <c r="J19" s="89" t="s">
        <v>98</v>
      </c>
      <c r="K19" s="89" t="s">
        <v>136</v>
      </c>
      <c r="L19" s="89" t="s">
        <v>135</v>
      </c>
      <c r="M19" s="89" t="s">
        <v>135</v>
      </c>
      <c r="N19" s="89" t="s">
        <v>139</v>
      </c>
      <c r="O19" s="89" t="s">
        <v>141</v>
      </c>
    </row>
    <row r="20" spans="1:15" ht="30" customHeight="1" thickBot="1" x14ac:dyDescent="0.3">
      <c r="A20" s="18" t="s">
        <v>89</v>
      </c>
      <c r="B20" s="172"/>
      <c r="C20"/>
      <c r="D20" s="73"/>
      <c r="F20" s="90">
        <f>SUM(INDEX(Conteudo!A:L,24,5),1)</f>
        <v>45375</v>
      </c>
      <c r="G20" s="91"/>
      <c r="H20" s="90">
        <f>SUM($F$20,H17)</f>
        <v>45382</v>
      </c>
      <c r="I20" s="90">
        <f t="shared" ref="I20:O20" si="0">SUM($F$20,I17)</f>
        <v>45390</v>
      </c>
      <c r="J20" s="90">
        <f t="shared" si="0"/>
        <v>45405</v>
      </c>
      <c r="K20" s="90">
        <f t="shared" si="0"/>
        <v>45420</v>
      </c>
      <c r="L20" s="90">
        <f t="shared" si="0"/>
        <v>45435</v>
      </c>
      <c r="M20" s="90">
        <f t="shared" si="0"/>
        <v>45435</v>
      </c>
      <c r="N20" s="90">
        <f t="shared" si="0"/>
        <v>45450</v>
      </c>
      <c r="O20" s="90">
        <f t="shared" si="0"/>
        <v>45465</v>
      </c>
    </row>
    <row r="21" spans="1:15" ht="30" customHeight="1" thickBot="1" x14ac:dyDescent="0.3">
      <c r="A21" s="18" t="s">
        <v>89</v>
      </c>
      <c r="B21" s="172"/>
      <c r="C21"/>
      <c r="D21" s="73"/>
      <c r="I21"/>
    </row>
    <row r="22" spans="1:15" ht="30" customHeight="1" thickBot="1" x14ac:dyDescent="0.3">
      <c r="A22" s="18" t="s">
        <v>89</v>
      </c>
      <c r="B22" s="172"/>
      <c r="C22"/>
      <c r="D22" s="73"/>
      <c r="I22"/>
    </row>
    <row r="23" spans="1:15" ht="30" customHeight="1" thickBot="1" x14ac:dyDescent="0.3">
      <c r="A23" s="18" t="s">
        <v>89</v>
      </c>
      <c r="B23" s="172"/>
      <c r="C23"/>
      <c r="D23" s="73"/>
      <c r="I23"/>
    </row>
    <row r="24" spans="1:15" ht="30" customHeight="1" thickBot="1" x14ac:dyDescent="0.3">
      <c r="A24" s="18" t="s">
        <v>89</v>
      </c>
      <c r="B24" s="172"/>
      <c r="C24"/>
      <c r="D24" s="73"/>
      <c r="I24"/>
    </row>
    <row r="25" spans="1:15" ht="30" customHeight="1" thickBot="1" x14ac:dyDescent="0.3">
      <c r="A25" s="18" t="s">
        <v>89</v>
      </c>
      <c r="B25" s="172"/>
      <c r="C25"/>
      <c r="D25" s="73"/>
      <c r="I25"/>
    </row>
    <row r="26" spans="1:15" ht="30" customHeight="1" thickBot="1" x14ac:dyDescent="0.3">
      <c r="A26" s="18" t="s">
        <v>89</v>
      </c>
      <c r="B26" s="172"/>
      <c r="C26"/>
      <c r="D26" s="73"/>
      <c r="I26"/>
    </row>
    <row r="27" spans="1:15" ht="30" customHeight="1" thickBot="1" x14ac:dyDescent="0.3">
      <c r="A27" s="18" t="s">
        <v>89</v>
      </c>
      <c r="B27" s="172"/>
      <c r="C27"/>
      <c r="D27" s="73"/>
      <c r="I27"/>
    </row>
    <row r="28" spans="1:15" ht="30" customHeight="1" thickBot="1" x14ac:dyDescent="0.3">
      <c r="A28" s="18" t="s">
        <v>89</v>
      </c>
      <c r="B28" s="172"/>
      <c r="C28"/>
      <c r="D28" s="73"/>
      <c r="I28"/>
    </row>
    <row r="29" spans="1:15" ht="30" customHeight="1" thickBot="1" x14ac:dyDescent="0.3">
      <c r="A29" s="18" t="s">
        <v>89</v>
      </c>
      <c r="B29" s="172"/>
      <c r="C29"/>
      <c r="D29" s="73"/>
      <c r="I29"/>
    </row>
    <row r="30" spans="1:15" ht="30" customHeight="1" thickBot="1" x14ac:dyDescent="0.3">
      <c r="A30" s="18" t="s">
        <v>89</v>
      </c>
      <c r="B30" s="172"/>
      <c r="C30"/>
      <c r="D30" s="73"/>
      <c r="I30"/>
    </row>
    <row r="31" spans="1:15" x14ac:dyDescent="0.25">
      <c r="A31"/>
      <c r="B31"/>
      <c r="C31"/>
      <c r="D31" s="73"/>
    </row>
  </sheetData>
  <sheetProtection algorithmName="SHA-512" hashValue="lBheTsdH7mu3LtjfxN83EgEY4GNXjjZHzSCTS6H3R5wqBmGvGazolXD+8Cf6DEGPHB3tW3RPzXzevM+7ydRzLQ==" saltValue="CU+YJIzQc6Rvquj+cO/RFA==" spinCount="100000" sheet="1" objects="1" scenarios="1"/>
  <mergeCells count="16">
    <mergeCell ref="J11:L11"/>
    <mergeCell ref="J12:L12"/>
    <mergeCell ref="A4:A5"/>
    <mergeCell ref="E4:E5"/>
    <mergeCell ref="F4:F5"/>
    <mergeCell ref="G4:G5"/>
    <mergeCell ref="H4:H5"/>
    <mergeCell ref="I4:I5"/>
    <mergeCell ref="J4:J5"/>
    <mergeCell ref="K4:K5"/>
    <mergeCell ref="L4:L5"/>
    <mergeCell ref="B1:B5"/>
    <mergeCell ref="F2:F3"/>
    <mergeCell ref="H2:H3"/>
    <mergeCell ref="J2:J3"/>
    <mergeCell ref="L2:L3"/>
  </mergeCells>
  <conditionalFormatting sqref="H9">
    <cfRule type="containsText" dxfId="113" priority="4" operator="containsText" text="Difícil">
      <formula>NOT(ISERROR(SEARCH("Difícil",H9)))</formula>
    </cfRule>
    <cfRule type="containsText" dxfId="112" priority="5" operator="containsText" text="Médio">
      <formula>NOT(ISERROR(SEARCH("Médio",H9)))</formula>
    </cfRule>
    <cfRule type="containsText" dxfId="111" priority="6" operator="containsText" text="Facíl">
      <formula>NOT(ISERROR(SEARCH("Facíl",H9)))</formula>
    </cfRule>
  </conditionalFormatting>
  <conditionalFormatting sqref="H14">
    <cfRule type="containsText" dxfId="110" priority="1" operator="containsText" text="Difícil">
      <formula>NOT(ISERROR(SEARCH("Difícil",H14)))</formula>
    </cfRule>
    <cfRule type="containsText" dxfId="109" priority="2" operator="containsText" text="Médio">
      <formula>NOT(ISERROR(SEARCH("Médio",H14)))</formula>
    </cfRule>
    <cfRule type="containsText" dxfId="108" priority="3" operator="containsText" text="Facíl">
      <formula>NOT(ISERROR(SEARCH("Facíl",H14)))</formula>
    </cfRule>
  </conditionalFormatting>
  <hyperlinks>
    <hyperlink ref="F14" r:id="rId1" tooltip="Site de Simulado" xr:uid="{00000000-0004-0000-1000-000000000000}"/>
    <hyperlink ref="H14:H15" r:id="rId2" tooltip="Pagina de Pesquisa do Google" display="Google" xr:uid="{00000000-0004-0000-1000-000001000000}"/>
    <hyperlink ref="J14:J15" r:id="rId3" tooltip="Pagina do Youtube " display="Youtube" xr:uid="{00000000-0004-0000-1000-000002000000}"/>
    <hyperlink ref="L7" location="Conteudo!A1" display="◄ Voltar" xr:uid="{00000000-0004-0000-1000-000003000000}"/>
  </hyperlinks>
  <pageMargins left="0.511811024" right="0.511811024" top="0.78740157499999996" bottom="0.78740157499999996" header="0.31496062000000002" footer="0.31496062000000002"/>
  <drawing r:id="rId4"/>
  <legacyDrawing r:id="rId5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18"/>
  <dimension ref="A1:O31"/>
  <sheetViews>
    <sheetView showGridLines="0" showRowColHeaders="0" workbookViewId="0">
      <selection activeCell="B6" sqref="B6:B30"/>
    </sheetView>
  </sheetViews>
  <sheetFormatPr defaultRowHeight="15" x14ac:dyDescent="0.25"/>
  <cols>
    <col min="1" max="1" width="3.140625" style="78" customWidth="1"/>
    <col min="2" max="2" width="42" style="78" customWidth="1"/>
    <col min="3" max="4" width="0.85546875" style="78" customWidth="1"/>
    <col min="5" max="5" width="1.5703125" style="78" customWidth="1"/>
    <col min="6" max="6" width="14.7109375" style="78" customWidth="1"/>
    <col min="7" max="7" width="14.7109375" style="78" hidden="1" customWidth="1"/>
    <col min="8" max="8" width="14.7109375" style="78" customWidth="1"/>
    <col min="9" max="9" width="14.7109375" style="78" hidden="1" customWidth="1"/>
    <col min="10" max="10" width="14.7109375" style="78" customWidth="1"/>
    <col min="11" max="11" width="14.7109375" style="78" hidden="1" customWidth="1"/>
    <col min="12" max="16" width="14.7109375" style="78" customWidth="1"/>
    <col min="17" max="16384" width="9.140625" style="78"/>
  </cols>
  <sheetData>
    <row r="1" spans="1:12" ht="8.25" customHeight="1" thickBot="1" x14ac:dyDescent="0.3">
      <c r="A1" s="73"/>
      <c r="B1" s="234" t="str">
        <f>VLOOKUP(A4,Começo!A:C,3,0)</f>
        <v>Mecânica dos Fluídos</v>
      </c>
      <c r="C1" s="73"/>
      <c r="D1" s="73"/>
    </row>
    <row r="2" spans="1:12" ht="15.75" customHeight="1" thickBot="1" x14ac:dyDescent="0.3">
      <c r="A2" s="73"/>
      <c r="B2" s="234"/>
      <c r="C2" s="73"/>
      <c r="D2" s="73"/>
      <c r="F2" s="231" t="s">
        <v>488</v>
      </c>
      <c r="G2" s="85"/>
      <c r="H2" s="237" t="s">
        <v>489</v>
      </c>
      <c r="I2" s="86"/>
      <c r="J2" s="237" t="s">
        <v>85</v>
      </c>
      <c r="K2" s="86"/>
      <c r="L2" s="231" t="s">
        <v>490</v>
      </c>
    </row>
    <row r="3" spans="1:12" ht="15.75" customHeight="1" thickBot="1" x14ac:dyDescent="0.3">
      <c r="A3" s="73"/>
      <c r="B3" s="234"/>
      <c r="C3" s="73"/>
      <c r="D3" s="73"/>
      <c r="F3" s="231"/>
      <c r="G3" s="85"/>
      <c r="H3" s="237"/>
      <c r="I3" s="86"/>
      <c r="J3" s="237"/>
      <c r="K3" s="86"/>
      <c r="L3" s="231"/>
    </row>
    <row r="4" spans="1:12" ht="15.75" customHeight="1" thickBot="1" x14ac:dyDescent="0.3">
      <c r="A4" s="230">
        <v>13</v>
      </c>
      <c r="B4" s="234"/>
      <c r="C4" s="74"/>
      <c r="D4" s="74"/>
      <c r="E4" s="233">
        <v>1</v>
      </c>
      <c r="F4" s="232">
        <f>INDEX(Conteudo!A:R,25,5)</f>
        <v>45375</v>
      </c>
      <c r="G4" s="238">
        <v>1</v>
      </c>
      <c r="H4" s="239">
        <f>INDEX(Conteudo!A:R,25,6)</f>
        <v>25</v>
      </c>
      <c r="I4" s="236">
        <v>1</v>
      </c>
      <c r="J4" s="239">
        <f>INDEX(Conteudo!A:R,25,7)</f>
        <v>21</v>
      </c>
      <c r="K4" s="236">
        <v>1</v>
      </c>
      <c r="L4" s="235">
        <f>INDEX(Conteudo!A:R,25,8)</f>
        <v>0.84</v>
      </c>
    </row>
    <row r="5" spans="1:12" ht="15.75" customHeight="1" thickBot="1" x14ac:dyDescent="0.3">
      <c r="A5" s="230"/>
      <c r="B5" s="234"/>
      <c r="C5" s="74"/>
      <c r="D5" s="74"/>
      <c r="E5" s="233"/>
      <c r="F5" s="232"/>
      <c r="G5" s="238"/>
      <c r="H5" s="239"/>
      <c r="I5" s="236"/>
      <c r="J5" s="239"/>
      <c r="K5" s="236"/>
      <c r="L5" s="235"/>
    </row>
    <row r="6" spans="1:12" ht="30" customHeight="1" thickBot="1" x14ac:dyDescent="0.3">
      <c r="A6" s="18" t="s">
        <v>89</v>
      </c>
      <c r="B6" s="171"/>
      <c r="C6"/>
      <c r="D6" s="73"/>
    </row>
    <row r="7" spans="1:12" ht="30" customHeight="1" thickBot="1" x14ac:dyDescent="0.3">
      <c r="A7" s="18" t="s">
        <v>89</v>
      </c>
      <c r="B7" s="172"/>
      <c r="C7" s="61"/>
      <c r="D7" s="73"/>
      <c r="F7" s="80" t="s">
        <v>79</v>
      </c>
      <c r="G7" s="79"/>
      <c r="H7" s="81">
        <f>IF(Começo!D9="","",INDEX(Começo!A:E,9,4))</f>
        <v>45334</v>
      </c>
      <c r="I7" s="75"/>
      <c r="L7" s="98" t="s">
        <v>493</v>
      </c>
    </row>
    <row r="8" spans="1:12" ht="30" customHeight="1" thickBot="1" x14ac:dyDescent="0.3">
      <c r="A8" s="18" t="s">
        <v>89</v>
      </c>
      <c r="B8" s="172"/>
      <c r="C8" s="61"/>
      <c r="D8" s="73"/>
      <c r="F8" s="80" t="s">
        <v>39</v>
      </c>
      <c r="G8" s="79"/>
      <c r="H8" s="87" t="str">
        <f>IF(Começo!D10="","",INDEX(Começo!A:E,10,4))</f>
        <v>Perito Criminal</v>
      </c>
      <c r="I8" s="76"/>
    </row>
    <row r="9" spans="1:12" ht="30" customHeight="1" thickBot="1" x14ac:dyDescent="0.3">
      <c r="A9" s="18" t="s">
        <v>89</v>
      </c>
      <c r="B9" s="172"/>
      <c r="C9"/>
      <c r="D9" s="73"/>
      <c r="F9" s="80" t="s">
        <v>1</v>
      </c>
      <c r="G9" s="79"/>
      <c r="H9" s="82" t="str">
        <f>INDEX(Começo!A:G,11,4)</f>
        <v>Médio</v>
      </c>
      <c r="I9" s="77"/>
    </row>
    <row r="10" spans="1:12" ht="30" customHeight="1" thickBot="1" x14ac:dyDescent="0.3">
      <c r="A10" s="18" t="s">
        <v>89</v>
      </c>
      <c r="B10" s="172"/>
      <c r="C10"/>
      <c r="D10" s="73"/>
      <c r="I10"/>
    </row>
    <row r="11" spans="1:12" ht="30" customHeight="1" thickBot="1" x14ac:dyDescent="0.3">
      <c r="A11" s="18" t="s">
        <v>89</v>
      </c>
      <c r="B11" s="172"/>
      <c r="C11"/>
      <c r="D11" s="73"/>
      <c r="F11" s="83" t="s">
        <v>491</v>
      </c>
      <c r="I11"/>
      <c r="J11" s="240" t="s">
        <v>478</v>
      </c>
      <c r="K11" s="241"/>
      <c r="L11" s="242"/>
    </row>
    <row r="12" spans="1:12" ht="30" customHeight="1" thickBot="1" x14ac:dyDescent="0.3">
      <c r="A12" s="18" t="s">
        <v>89</v>
      </c>
      <c r="B12" s="172"/>
      <c r="C12"/>
      <c r="D12" s="73"/>
      <c r="F12" s="84">
        <f>INDEX(Começo!A:J,9,10)</f>
        <v>271</v>
      </c>
      <c r="I12"/>
      <c r="J12" s="243" t="str">
        <f>INDEX(Começo!A:K,26,11)</f>
        <v>Atenção</v>
      </c>
      <c r="K12" s="244"/>
      <c r="L12" s="245"/>
    </row>
    <row r="13" spans="1:12" ht="30" customHeight="1" thickBot="1" x14ac:dyDescent="0.3">
      <c r="A13" s="18" t="s">
        <v>89</v>
      </c>
      <c r="B13" s="172"/>
      <c r="C13"/>
      <c r="D13" s="73"/>
      <c r="I13"/>
    </row>
    <row r="14" spans="1:12" ht="30" customHeight="1" thickBot="1" x14ac:dyDescent="0.3">
      <c r="A14" s="18" t="s">
        <v>89</v>
      </c>
      <c r="B14" s="172"/>
      <c r="C14"/>
      <c r="D14" s="73"/>
      <c r="F14" s="92" t="s">
        <v>482</v>
      </c>
      <c r="H14" s="94" t="s">
        <v>86</v>
      </c>
      <c r="I14"/>
      <c r="J14" s="95" t="s">
        <v>87</v>
      </c>
    </row>
    <row r="15" spans="1:12" ht="30" customHeight="1" thickBot="1" x14ac:dyDescent="0.3">
      <c r="A15" s="18" t="s">
        <v>89</v>
      </c>
      <c r="B15" s="172"/>
      <c r="C15"/>
      <c r="D15" s="73"/>
      <c r="H15" s="93"/>
      <c r="I15"/>
      <c r="J15" s="95"/>
    </row>
    <row r="16" spans="1:12" ht="30" customHeight="1" thickBot="1" x14ac:dyDescent="0.3">
      <c r="A16" s="18" t="s">
        <v>89</v>
      </c>
      <c r="B16" s="172"/>
      <c r="C16"/>
      <c r="D16" s="73"/>
      <c r="I16"/>
    </row>
    <row r="17" spans="1:15" ht="30" customHeight="1" thickBot="1" x14ac:dyDescent="0.3">
      <c r="A17" s="18" t="s">
        <v>89</v>
      </c>
      <c r="B17" s="172"/>
      <c r="C17"/>
      <c r="D17" s="73"/>
      <c r="F17" s="89">
        <v>1</v>
      </c>
      <c r="G17" s="89"/>
      <c r="H17" s="89">
        <v>7</v>
      </c>
      <c r="I17" s="89">
        <v>15</v>
      </c>
      <c r="J17" s="89">
        <v>30</v>
      </c>
      <c r="K17" s="89">
        <v>45</v>
      </c>
      <c r="L17" s="89">
        <v>60</v>
      </c>
      <c r="M17" s="89">
        <v>60</v>
      </c>
      <c r="N17" s="89">
        <v>75</v>
      </c>
      <c r="O17" s="89">
        <v>90</v>
      </c>
    </row>
    <row r="18" spans="1:15" ht="30" customHeight="1" thickBot="1" x14ac:dyDescent="0.3">
      <c r="A18" s="18" t="s">
        <v>89</v>
      </c>
      <c r="B18" s="172"/>
      <c r="C18"/>
      <c r="D18" s="73"/>
      <c r="F18" s="88" t="s">
        <v>484</v>
      </c>
      <c r="G18" s="88"/>
      <c r="H18" s="88" t="s">
        <v>485</v>
      </c>
      <c r="I18" s="88" t="s">
        <v>486</v>
      </c>
      <c r="J18" s="88" t="s">
        <v>100</v>
      </c>
      <c r="K18" s="88" t="s">
        <v>487</v>
      </c>
      <c r="L18" s="88" t="s">
        <v>137</v>
      </c>
      <c r="M18" s="88" t="s">
        <v>137</v>
      </c>
      <c r="N18" s="88" t="s">
        <v>138</v>
      </c>
      <c r="O18" s="88" t="s">
        <v>140</v>
      </c>
    </row>
    <row r="19" spans="1:15" ht="30" customHeight="1" thickBot="1" x14ac:dyDescent="0.3">
      <c r="A19" s="18" t="s">
        <v>89</v>
      </c>
      <c r="B19" s="172"/>
      <c r="C19"/>
      <c r="D19" s="73"/>
      <c r="F19" s="89" t="s">
        <v>95</v>
      </c>
      <c r="G19" s="89"/>
      <c r="H19" s="89" t="s">
        <v>96</v>
      </c>
      <c r="I19" s="89" t="s">
        <v>97</v>
      </c>
      <c r="J19" s="89" t="s">
        <v>98</v>
      </c>
      <c r="K19" s="89" t="s">
        <v>136</v>
      </c>
      <c r="L19" s="89" t="s">
        <v>135</v>
      </c>
      <c r="M19" s="89" t="s">
        <v>135</v>
      </c>
      <c r="N19" s="89" t="s">
        <v>139</v>
      </c>
      <c r="O19" s="89" t="s">
        <v>141</v>
      </c>
    </row>
    <row r="20" spans="1:15" ht="30" customHeight="1" thickBot="1" x14ac:dyDescent="0.3">
      <c r="A20" s="18" t="s">
        <v>89</v>
      </c>
      <c r="B20" s="172"/>
      <c r="C20"/>
      <c r="D20" s="73"/>
      <c r="F20" s="90">
        <f>SUM(INDEX(Conteudo!A:L,25,5),1)</f>
        <v>45376</v>
      </c>
      <c r="G20" s="91"/>
      <c r="H20" s="90">
        <f>SUM($F$20,H17)</f>
        <v>45383</v>
      </c>
      <c r="I20" s="90">
        <f t="shared" ref="I20:O20" si="0">SUM($F$20,I17)</f>
        <v>45391</v>
      </c>
      <c r="J20" s="90">
        <f t="shared" si="0"/>
        <v>45406</v>
      </c>
      <c r="K20" s="90">
        <f t="shared" si="0"/>
        <v>45421</v>
      </c>
      <c r="L20" s="90">
        <f t="shared" si="0"/>
        <v>45436</v>
      </c>
      <c r="M20" s="90">
        <f t="shared" si="0"/>
        <v>45436</v>
      </c>
      <c r="N20" s="90">
        <f t="shared" si="0"/>
        <v>45451</v>
      </c>
      <c r="O20" s="90">
        <f t="shared" si="0"/>
        <v>45466</v>
      </c>
    </row>
    <row r="21" spans="1:15" ht="30" customHeight="1" thickBot="1" x14ac:dyDescent="0.3">
      <c r="A21" s="18" t="s">
        <v>89</v>
      </c>
      <c r="B21" s="172"/>
      <c r="C21"/>
      <c r="D21" s="73"/>
      <c r="I21"/>
    </row>
    <row r="22" spans="1:15" ht="30" customHeight="1" thickBot="1" x14ac:dyDescent="0.3">
      <c r="A22" s="18" t="s">
        <v>89</v>
      </c>
      <c r="B22" s="172"/>
      <c r="C22"/>
      <c r="D22" s="73"/>
      <c r="I22"/>
    </row>
    <row r="23" spans="1:15" ht="30" customHeight="1" thickBot="1" x14ac:dyDescent="0.3">
      <c r="A23" s="18" t="s">
        <v>89</v>
      </c>
      <c r="B23" s="172"/>
      <c r="C23"/>
      <c r="D23" s="73"/>
      <c r="I23"/>
    </row>
    <row r="24" spans="1:15" ht="30" customHeight="1" thickBot="1" x14ac:dyDescent="0.3">
      <c r="A24" s="18" t="s">
        <v>89</v>
      </c>
      <c r="B24" s="172"/>
      <c r="C24"/>
      <c r="D24" s="73"/>
      <c r="I24"/>
    </row>
    <row r="25" spans="1:15" ht="30" customHeight="1" thickBot="1" x14ac:dyDescent="0.3">
      <c r="A25" s="18" t="s">
        <v>89</v>
      </c>
      <c r="B25" s="172"/>
      <c r="C25"/>
      <c r="D25" s="73"/>
      <c r="I25"/>
    </row>
    <row r="26" spans="1:15" ht="30" customHeight="1" thickBot="1" x14ac:dyDescent="0.3">
      <c r="A26" s="18" t="s">
        <v>89</v>
      </c>
      <c r="B26" s="172"/>
      <c r="C26"/>
      <c r="D26" s="73"/>
      <c r="I26"/>
    </row>
    <row r="27" spans="1:15" ht="30" customHeight="1" thickBot="1" x14ac:dyDescent="0.3">
      <c r="A27" s="18" t="s">
        <v>89</v>
      </c>
      <c r="B27" s="172"/>
      <c r="C27"/>
      <c r="D27" s="73"/>
      <c r="I27"/>
    </row>
    <row r="28" spans="1:15" ht="30" customHeight="1" thickBot="1" x14ac:dyDescent="0.3">
      <c r="A28" s="18" t="s">
        <v>89</v>
      </c>
      <c r="B28" s="172"/>
      <c r="C28"/>
      <c r="D28" s="73"/>
      <c r="I28"/>
    </row>
    <row r="29" spans="1:15" ht="30" customHeight="1" thickBot="1" x14ac:dyDescent="0.3">
      <c r="A29" s="18" t="s">
        <v>89</v>
      </c>
      <c r="B29" s="172"/>
      <c r="C29"/>
      <c r="D29" s="73"/>
      <c r="I29"/>
    </row>
    <row r="30" spans="1:15" ht="30" customHeight="1" thickBot="1" x14ac:dyDescent="0.3">
      <c r="A30" s="18" t="s">
        <v>89</v>
      </c>
      <c r="B30" s="172"/>
      <c r="C30"/>
      <c r="D30" s="73"/>
      <c r="I30"/>
    </row>
    <row r="31" spans="1:15" x14ac:dyDescent="0.25">
      <c r="A31"/>
      <c r="B31"/>
      <c r="C31"/>
      <c r="D31" s="73"/>
    </row>
  </sheetData>
  <sheetProtection algorithmName="SHA-512" hashValue="ZIO3JFPqhEH8+dSScB9NTD4AiA0Ap+3H6aSCTBhieK9XWti3+gyUFUJkOoZ50Vbf2vqX4b0bjKL1vMiJcK1GwQ==" saltValue="m8LBK7qEmVFexP171mJ9Fg==" spinCount="100000" sheet="1" objects="1" scenarios="1"/>
  <mergeCells count="16">
    <mergeCell ref="J11:L11"/>
    <mergeCell ref="J12:L12"/>
    <mergeCell ref="A4:A5"/>
    <mergeCell ref="E4:E5"/>
    <mergeCell ref="F4:F5"/>
    <mergeCell ref="G4:G5"/>
    <mergeCell ref="H4:H5"/>
    <mergeCell ref="I4:I5"/>
    <mergeCell ref="J4:J5"/>
    <mergeCell ref="K4:K5"/>
    <mergeCell ref="L4:L5"/>
    <mergeCell ref="B1:B5"/>
    <mergeCell ref="F2:F3"/>
    <mergeCell ref="H2:H3"/>
    <mergeCell ref="J2:J3"/>
    <mergeCell ref="L2:L3"/>
  </mergeCells>
  <conditionalFormatting sqref="H9">
    <cfRule type="containsText" dxfId="107" priority="4" operator="containsText" text="Difícil">
      <formula>NOT(ISERROR(SEARCH("Difícil",H9)))</formula>
    </cfRule>
    <cfRule type="containsText" dxfId="106" priority="5" operator="containsText" text="Médio">
      <formula>NOT(ISERROR(SEARCH("Médio",H9)))</formula>
    </cfRule>
    <cfRule type="containsText" dxfId="105" priority="6" operator="containsText" text="Facíl">
      <formula>NOT(ISERROR(SEARCH("Facíl",H9)))</formula>
    </cfRule>
  </conditionalFormatting>
  <conditionalFormatting sqref="H14">
    <cfRule type="containsText" dxfId="104" priority="1" operator="containsText" text="Difícil">
      <formula>NOT(ISERROR(SEARCH("Difícil",H14)))</formula>
    </cfRule>
    <cfRule type="containsText" dxfId="103" priority="2" operator="containsText" text="Médio">
      <formula>NOT(ISERROR(SEARCH("Médio",H14)))</formula>
    </cfRule>
    <cfRule type="containsText" dxfId="102" priority="3" operator="containsText" text="Facíl">
      <formula>NOT(ISERROR(SEARCH("Facíl",H14)))</formula>
    </cfRule>
  </conditionalFormatting>
  <hyperlinks>
    <hyperlink ref="F14" r:id="rId1" tooltip="Site de Simulado" xr:uid="{00000000-0004-0000-1100-000000000000}"/>
    <hyperlink ref="H14:H15" r:id="rId2" tooltip="Pagina de Pesquisa do Google" display="Google" xr:uid="{00000000-0004-0000-1100-000001000000}"/>
    <hyperlink ref="J14:J15" r:id="rId3" tooltip="Pagina do Youtube " display="Youtube" xr:uid="{00000000-0004-0000-1100-000002000000}"/>
    <hyperlink ref="L7" location="Conteudo!A1" display="◄ Voltar" xr:uid="{00000000-0004-0000-1100-000003000000}"/>
  </hyperlinks>
  <pageMargins left="0.511811024" right="0.511811024" top="0.78740157499999996" bottom="0.78740157499999996" header="0.31496062000000002" footer="0.31496062000000002"/>
  <drawing r:id="rId4"/>
  <legacyDrawing r:id="rId5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19"/>
  <dimension ref="A1:O31"/>
  <sheetViews>
    <sheetView showGridLines="0" showRowColHeaders="0" workbookViewId="0">
      <selection activeCell="B6" sqref="B6:B30"/>
    </sheetView>
  </sheetViews>
  <sheetFormatPr defaultRowHeight="15" x14ac:dyDescent="0.25"/>
  <cols>
    <col min="1" max="1" width="3.140625" style="78" customWidth="1"/>
    <col min="2" max="2" width="42" style="78" customWidth="1"/>
    <col min="3" max="4" width="0.85546875" style="78" customWidth="1"/>
    <col min="5" max="5" width="1.5703125" style="78" customWidth="1"/>
    <col min="6" max="6" width="14.7109375" style="78" customWidth="1"/>
    <col min="7" max="7" width="14.7109375" style="78" hidden="1" customWidth="1"/>
    <col min="8" max="8" width="14.7109375" style="78" customWidth="1"/>
    <col min="9" max="9" width="14.7109375" style="78" hidden="1" customWidth="1"/>
    <col min="10" max="10" width="14.7109375" style="78" customWidth="1"/>
    <col min="11" max="11" width="14.7109375" style="78" hidden="1" customWidth="1"/>
    <col min="12" max="16" width="14.7109375" style="78" customWidth="1"/>
    <col min="17" max="16384" width="9.140625" style="78"/>
  </cols>
  <sheetData>
    <row r="1" spans="1:12" ht="8.25" customHeight="1" thickBot="1" x14ac:dyDescent="0.3">
      <c r="A1" s="73"/>
      <c r="B1" s="234" t="str">
        <f>VLOOKUP(A4,Começo!A:C,3,0)</f>
        <v>IoT</v>
      </c>
      <c r="C1" s="73"/>
      <c r="D1" s="73"/>
    </row>
    <row r="2" spans="1:12" ht="15.75" customHeight="1" thickBot="1" x14ac:dyDescent="0.3">
      <c r="A2" s="73"/>
      <c r="B2" s="234"/>
      <c r="C2" s="73"/>
      <c r="D2" s="73"/>
      <c r="F2" s="231" t="s">
        <v>488</v>
      </c>
      <c r="G2" s="85"/>
      <c r="H2" s="237" t="s">
        <v>489</v>
      </c>
      <c r="I2" s="86"/>
      <c r="J2" s="237" t="s">
        <v>85</v>
      </c>
      <c r="K2" s="86"/>
      <c r="L2" s="231" t="s">
        <v>490</v>
      </c>
    </row>
    <row r="3" spans="1:12" ht="15.75" customHeight="1" thickBot="1" x14ac:dyDescent="0.3">
      <c r="A3" s="73"/>
      <c r="B3" s="234"/>
      <c r="C3" s="73"/>
      <c r="D3" s="73"/>
      <c r="F3" s="231"/>
      <c r="G3" s="85"/>
      <c r="H3" s="237"/>
      <c r="I3" s="86"/>
      <c r="J3" s="237"/>
      <c r="K3" s="86"/>
      <c r="L3" s="231"/>
    </row>
    <row r="4" spans="1:12" ht="15.75" customHeight="1" thickBot="1" x14ac:dyDescent="0.3">
      <c r="A4" s="230">
        <v>14</v>
      </c>
      <c r="B4" s="234"/>
      <c r="C4" s="74"/>
      <c r="D4" s="74"/>
      <c r="E4" s="233">
        <v>1</v>
      </c>
      <c r="F4" s="232">
        <f>INDEX(Conteudo!A:R,26,5)</f>
        <v>45376</v>
      </c>
      <c r="G4" s="238">
        <v>1</v>
      </c>
      <c r="H4" s="239">
        <f>INDEX(Conteudo!A:R,26,6)</f>
        <v>12</v>
      </c>
      <c r="I4" s="236">
        <v>1</v>
      </c>
      <c r="J4" s="239">
        <f>INDEX(Conteudo!A:R,26,7)</f>
        <v>12</v>
      </c>
      <c r="K4" s="236">
        <v>1</v>
      </c>
      <c r="L4" s="235">
        <f>INDEX(Conteudo!A:R,26,8)</f>
        <v>1</v>
      </c>
    </row>
    <row r="5" spans="1:12" ht="15.75" customHeight="1" thickBot="1" x14ac:dyDescent="0.3">
      <c r="A5" s="230"/>
      <c r="B5" s="234"/>
      <c r="C5" s="74"/>
      <c r="D5" s="74"/>
      <c r="E5" s="233"/>
      <c r="F5" s="232"/>
      <c r="G5" s="238"/>
      <c r="H5" s="239"/>
      <c r="I5" s="236"/>
      <c r="J5" s="239"/>
      <c r="K5" s="236"/>
      <c r="L5" s="235"/>
    </row>
    <row r="6" spans="1:12" ht="30" customHeight="1" thickBot="1" x14ac:dyDescent="0.3">
      <c r="A6" s="18" t="s">
        <v>89</v>
      </c>
      <c r="B6" s="171"/>
      <c r="C6"/>
      <c r="D6" s="73"/>
    </row>
    <row r="7" spans="1:12" ht="30" customHeight="1" thickBot="1" x14ac:dyDescent="0.3">
      <c r="A7" s="18" t="s">
        <v>89</v>
      </c>
      <c r="B7" s="172"/>
      <c r="C7" s="61"/>
      <c r="D7" s="73"/>
      <c r="F7" s="80" t="s">
        <v>79</v>
      </c>
      <c r="G7" s="79"/>
      <c r="H7" s="81">
        <f>IF(Começo!D9="","",INDEX(Começo!A:E,9,4))</f>
        <v>45334</v>
      </c>
      <c r="I7" s="75"/>
      <c r="L7" s="98" t="s">
        <v>493</v>
      </c>
    </row>
    <row r="8" spans="1:12" ht="30" customHeight="1" thickBot="1" x14ac:dyDescent="0.3">
      <c r="A8" s="18" t="s">
        <v>89</v>
      </c>
      <c r="B8" s="172"/>
      <c r="C8" s="61"/>
      <c r="D8" s="73"/>
      <c r="F8" s="80" t="s">
        <v>39</v>
      </c>
      <c r="G8" s="79"/>
      <c r="H8" s="87" t="str">
        <f>IF(Começo!D10="","",INDEX(Começo!A:E,10,4))</f>
        <v>Perito Criminal</v>
      </c>
      <c r="I8" s="76"/>
    </row>
    <row r="9" spans="1:12" ht="30" customHeight="1" thickBot="1" x14ac:dyDescent="0.3">
      <c r="A9" s="18" t="s">
        <v>89</v>
      </c>
      <c r="B9" s="172"/>
      <c r="C9"/>
      <c r="D9" s="73"/>
      <c r="F9" s="80" t="s">
        <v>1</v>
      </c>
      <c r="G9" s="79"/>
      <c r="H9" s="82" t="str">
        <f>INDEX(Começo!A:G,11,4)</f>
        <v>Médio</v>
      </c>
      <c r="I9" s="77"/>
    </row>
    <row r="10" spans="1:12" ht="30" customHeight="1" thickBot="1" x14ac:dyDescent="0.3">
      <c r="A10" s="18" t="s">
        <v>89</v>
      </c>
      <c r="B10" s="172"/>
      <c r="C10"/>
      <c r="D10" s="73"/>
      <c r="I10"/>
    </row>
    <row r="11" spans="1:12" ht="30" customHeight="1" thickBot="1" x14ac:dyDescent="0.3">
      <c r="A11" s="18" t="s">
        <v>89</v>
      </c>
      <c r="B11" s="172"/>
      <c r="C11"/>
      <c r="D11" s="73"/>
      <c r="F11" s="83" t="s">
        <v>491</v>
      </c>
      <c r="I11"/>
      <c r="J11" s="240" t="s">
        <v>478</v>
      </c>
      <c r="K11" s="241"/>
      <c r="L11" s="242"/>
    </row>
    <row r="12" spans="1:12" ht="30" customHeight="1" thickBot="1" x14ac:dyDescent="0.3">
      <c r="A12" s="18" t="s">
        <v>89</v>
      </c>
      <c r="B12" s="172"/>
      <c r="C12"/>
      <c r="D12" s="73"/>
      <c r="F12" s="84">
        <f>INDEX(Começo!A:J,9,10)</f>
        <v>271</v>
      </c>
      <c r="I12"/>
      <c r="J12" s="243" t="str">
        <f>INDEX(Começo!A:K,27,11)</f>
        <v>Excelente</v>
      </c>
      <c r="K12" s="244"/>
      <c r="L12" s="245"/>
    </row>
    <row r="13" spans="1:12" ht="30" customHeight="1" thickBot="1" x14ac:dyDescent="0.3">
      <c r="A13" s="18" t="s">
        <v>89</v>
      </c>
      <c r="B13" s="172"/>
      <c r="C13"/>
      <c r="D13" s="73"/>
      <c r="I13"/>
    </row>
    <row r="14" spans="1:12" ht="30" customHeight="1" thickBot="1" x14ac:dyDescent="0.3">
      <c r="A14" s="18" t="s">
        <v>89</v>
      </c>
      <c r="B14" s="172"/>
      <c r="C14"/>
      <c r="D14" s="73"/>
      <c r="F14" s="92" t="s">
        <v>482</v>
      </c>
      <c r="H14" s="94" t="s">
        <v>86</v>
      </c>
      <c r="I14"/>
      <c r="J14" s="95" t="s">
        <v>87</v>
      </c>
    </row>
    <row r="15" spans="1:12" ht="30" customHeight="1" thickBot="1" x14ac:dyDescent="0.3">
      <c r="A15" s="18" t="s">
        <v>89</v>
      </c>
      <c r="B15" s="172"/>
      <c r="C15"/>
      <c r="D15" s="73"/>
      <c r="H15" s="93"/>
      <c r="I15"/>
      <c r="J15" s="95"/>
    </row>
    <row r="16" spans="1:12" ht="30" customHeight="1" thickBot="1" x14ac:dyDescent="0.3">
      <c r="A16" s="18" t="s">
        <v>89</v>
      </c>
      <c r="B16" s="172"/>
      <c r="C16"/>
      <c r="D16" s="73"/>
      <c r="I16"/>
    </row>
    <row r="17" spans="1:15" ht="30" customHeight="1" thickBot="1" x14ac:dyDescent="0.3">
      <c r="A17" s="18" t="s">
        <v>89</v>
      </c>
      <c r="B17" s="172"/>
      <c r="C17"/>
      <c r="D17" s="73"/>
      <c r="F17" s="89">
        <v>1</v>
      </c>
      <c r="G17" s="89"/>
      <c r="H17" s="89">
        <v>7</v>
      </c>
      <c r="I17" s="89">
        <v>15</v>
      </c>
      <c r="J17" s="89">
        <v>30</v>
      </c>
      <c r="K17" s="89">
        <v>45</v>
      </c>
      <c r="L17" s="89">
        <v>60</v>
      </c>
      <c r="M17" s="89">
        <v>60</v>
      </c>
      <c r="N17" s="89">
        <v>75</v>
      </c>
      <c r="O17" s="89">
        <v>90</v>
      </c>
    </row>
    <row r="18" spans="1:15" ht="30" customHeight="1" thickBot="1" x14ac:dyDescent="0.3">
      <c r="A18" s="18" t="s">
        <v>89</v>
      </c>
      <c r="B18" s="172"/>
      <c r="C18"/>
      <c r="D18" s="73"/>
      <c r="F18" s="88" t="s">
        <v>484</v>
      </c>
      <c r="G18" s="88"/>
      <c r="H18" s="88" t="s">
        <v>485</v>
      </c>
      <c r="I18" s="88" t="s">
        <v>486</v>
      </c>
      <c r="J18" s="88" t="s">
        <v>100</v>
      </c>
      <c r="K18" s="88" t="s">
        <v>487</v>
      </c>
      <c r="L18" s="88" t="s">
        <v>137</v>
      </c>
      <c r="M18" s="88" t="s">
        <v>137</v>
      </c>
      <c r="N18" s="88" t="s">
        <v>138</v>
      </c>
      <c r="O18" s="88" t="s">
        <v>140</v>
      </c>
    </row>
    <row r="19" spans="1:15" ht="30" customHeight="1" thickBot="1" x14ac:dyDescent="0.3">
      <c r="A19" s="18" t="s">
        <v>89</v>
      </c>
      <c r="B19" s="172"/>
      <c r="C19"/>
      <c r="D19" s="73"/>
      <c r="F19" s="89" t="s">
        <v>95</v>
      </c>
      <c r="G19" s="89"/>
      <c r="H19" s="89" t="s">
        <v>96</v>
      </c>
      <c r="I19" s="89" t="s">
        <v>97</v>
      </c>
      <c r="J19" s="89" t="s">
        <v>98</v>
      </c>
      <c r="K19" s="89" t="s">
        <v>136</v>
      </c>
      <c r="L19" s="89" t="s">
        <v>135</v>
      </c>
      <c r="M19" s="89" t="s">
        <v>135</v>
      </c>
      <c r="N19" s="89" t="s">
        <v>139</v>
      </c>
      <c r="O19" s="89" t="s">
        <v>141</v>
      </c>
    </row>
    <row r="20" spans="1:15" ht="30" customHeight="1" thickBot="1" x14ac:dyDescent="0.3">
      <c r="A20" s="18" t="s">
        <v>89</v>
      </c>
      <c r="B20" s="172"/>
      <c r="C20"/>
      <c r="D20" s="73"/>
      <c r="F20" s="90">
        <f>SUM(INDEX(Conteudo!A:L,26,5),1)</f>
        <v>45377</v>
      </c>
      <c r="G20" s="91"/>
      <c r="H20" s="90">
        <f>SUM($F$20,H17)</f>
        <v>45384</v>
      </c>
      <c r="I20" s="90">
        <f t="shared" ref="I20:O20" si="0">SUM($F$20,I17)</f>
        <v>45392</v>
      </c>
      <c r="J20" s="90">
        <f t="shared" si="0"/>
        <v>45407</v>
      </c>
      <c r="K20" s="90">
        <f t="shared" si="0"/>
        <v>45422</v>
      </c>
      <c r="L20" s="90">
        <f t="shared" si="0"/>
        <v>45437</v>
      </c>
      <c r="M20" s="90">
        <f t="shared" si="0"/>
        <v>45437</v>
      </c>
      <c r="N20" s="90">
        <f t="shared" si="0"/>
        <v>45452</v>
      </c>
      <c r="O20" s="90">
        <f t="shared" si="0"/>
        <v>45467</v>
      </c>
    </row>
    <row r="21" spans="1:15" ht="30" customHeight="1" thickBot="1" x14ac:dyDescent="0.3">
      <c r="A21" s="18" t="s">
        <v>89</v>
      </c>
      <c r="B21" s="172"/>
      <c r="C21"/>
      <c r="D21" s="73"/>
      <c r="I21"/>
    </row>
    <row r="22" spans="1:15" ht="30" customHeight="1" thickBot="1" x14ac:dyDescent="0.3">
      <c r="A22" s="18" t="s">
        <v>89</v>
      </c>
      <c r="B22" s="172"/>
      <c r="C22"/>
      <c r="D22" s="73"/>
      <c r="I22"/>
    </row>
    <row r="23" spans="1:15" ht="30" customHeight="1" thickBot="1" x14ac:dyDescent="0.3">
      <c r="A23" s="18" t="s">
        <v>89</v>
      </c>
      <c r="B23" s="172"/>
      <c r="C23"/>
      <c r="D23" s="73"/>
      <c r="I23"/>
    </row>
    <row r="24" spans="1:15" ht="30" customHeight="1" thickBot="1" x14ac:dyDescent="0.3">
      <c r="A24" s="18" t="s">
        <v>89</v>
      </c>
      <c r="B24" s="172"/>
      <c r="C24"/>
      <c r="D24" s="73"/>
      <c r="I24"/>
    </row>
    <row r="25" spans="1:15" ht="30" customHeight="1" thickBot="1" x14ac:dyDescent="0.3">
      <c r="A25" s="18" t="s">
        <v>89</v>
      </c>
      <c r="B25" s="172"/>
      <c r="C25"/>
      <c r="D25" s="73"/>
      <c r="I25"/>
    </row>
    <row r="26" spans="1:15" ht="30" customHeight="1" thickBot="1" x14ac:dyDescent="0.3">
      <c r="A26" s="18" t="s">
        <v>89</v>
      </c>
      <c r="B26" s="172"/>
      <c r="C26"/>
      <c r="D26" s="73"/>
      <c r="I26"/>
    </row>
    <row r="27" spans="1:15" ht="30" customHeight="1" thickBot="1" x14ac:dyDescent="0.3">
      <c r="A27" s="18" t="s">
        <v>89</v>
      </c>
      <c r="B27" s="172"/>
      <c r="C27"/>
      <c r="D27" s="73"/>
      <c r="I27"/>
    </row>
    <row r="28" spans="1:15" ht="30" customHeight="1" thickBot="1" x14ac:dyDescent="0.3">
      <c r="A28" s="18" t="s">
        <v>89</v>
      </c>
      <c r="B28" s="172"/>
      <c r="C28"/>
      <c r="D28" s="73"/>
      <c r="I28"/>
    </row>
    <row r="29" spans="1:15" ht="30" customHeight="1" thickBot="1" x14ac:dyDescent="0.3">
      <c r="A29" s="18" t="s">
        <v>89</v>
      </c>
      <c r="B29" s="172"/>
      <c r="C29"/>
      <c r="D29" s="73"/>
      <c r="I29"/>
    </row>
    <row r="30" spans="1:15" ht="30" customHeight="1" thickBot="1" x14ac:dyDescent="0.3">
      <c r="A30" s="18" t="s">
        <v>89</v>
      </c>
      <c r="B30" s="172"/>
      <c r="C30"/>
      <c r="D30" s="73"/>
      <c r="I30"/>
    </row>
    <row r="31" spans="1:15" x14ac:dyDescent="0.25">
      <c r="A31"/>
      <c r="B31"/>
      <c r="C31"/>
      <c r="D31" s="73"/>
    </row>
  </sheetData>
  <sheetProtection algorithmName="SHA-512" hashValue="4jkimRGhR2VnTG83Ku1VvDKc2GSWMgsasZUCsYGmcieZJ9ofzVGpxFyMbdwg2QPutsDsiHcldkhNwkB2FRnndg==" saltValue="9RI0DkuaT8OqfeDerLYNIQ==" spinCount="100000" sheet="1" objects="1" scenarios="1"/>
  <mergeCells count="16">
    <mergeCell ref="J11:L11"/>
    <mergeCell ref="J12:L12"/>
    <mergeCell ref="A4:A5"/>
    <mergeCell ref="E4:E5"/>
    <mergeCell ref="F4:F5"/>
    <mergeCell ref="G4:G5"/>
    <mergeCell ref="H4:H5"/>
    <mergeCell ref="I4:I5"/>
    <mergeCell ref="J4:J5"/>
    <mergeCell ref="K4:K5"/>
    <mergeCell ref="L4:L5"/>
    <mergeCell ref="B1:B5"/>
    <mergeCell ref="F2:F3"/>
    <mergeCell ref="H2:H3"/>
    <mergeCell ref="J2:J3"/>
    <mergeCell ref="L2:L3"/>
  </mergeCells>
  <conditionalFormatting sqref="H9">
    <cfRule type="containsText" dxfId="101" priority="4" operator="containsText" text="Difícil">
      <formula>NOT(ISERROR(SEARCH("Difícil",H9)))</formula>
    </cfRule>
    <cfRule type="containsText" dxfId="100" priority="5" operator="containsText" text="Médio">
      <formula>NOT(ISERROR(SEARCH("Médio",H9)))</formula>
    </cfRule>
    <cfRule type="containsText" dxfId="99" priority="6" operator="containsText" text="Facíl">
      <formula>NOT(ISERROR(SEARCH("Facíl",H9)))</formula>
    </cfRule>
  </conditionalFormatting>
  <conditionalFormatting sqref="H14">
    <cfRule type="containsText" dxfId="98" priority="1" operator="containsText" text="Difícil">
      <formula>NOT(ISERROR(SEARCH("Difícil",H14)))</formula>
    </cfRule>
    <cfRule type="containsText" dxfId="97" priority="2" operator="containsText" text="Médio">
      <formula>NOT(ISERROR(SEARCH("Médio",H14)))</formula>
    </cfRule>
    <cfRule type="containsText" dxfId="96" priority="3" operator="containsText" text="Facíl">
      <formula>NOT(ISERROR(SEARCH("Facíl",H14)))</formula>
    </cfRule>
  </conditionalFormatting>
  <hyperlinks>
    <hyperlink ref="F14" r:id="rId1" tooltip="Site de Simulado" xr:uid="{00000000-0004-0000-1200-000000000000}"/>
    <hyperlink ref="H14:H15" r:id="rId2" tooltip="Pagina de Pesquisa do Google" display="Google" xr:uid="{00000000-0004-0000-1200-000001000000}"/>
    <hyperlink ref="J14:J15" r:id="rId3" tooltip="Pagina do Youtube " display="Youtube" xr:uid="{00000000-0004-0000-1200-000002000000}"/>
    <hyperlink ref="L7" location="Conteudo!A1" display="◄ Voltar" xr:uid="{00000000-0004-0000-1200-000003000000}"/>
  </hyperlinks>
  <pageMargins left="0.511811024" right="0.511811024" top="0.78740157499999996" bottom="0.78740157499999996" header="0.31496062000000002" footer="0.31496062000000002"/>
  <drawing r:id="rId4"/>
  <legacyDrawing r:id="rId5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20"/>
  <dimension ref="A1:O31"/>
  <sheetViews>
    <sheetView showGridLines="0" showRowColHeaders="0" workbookViewId="0">
      <selection activeCell="B6" sqref="B6:B30"/>
    </sheetView>
  </sheetViews>
  <sheetFormatPr defaultRowHeight="15" x14ac:dyDescent="0.25"/>
  <cols>
    <col min="1" max="1" width="3.140625" style="78" customWidth="1"/>
    <col min="2" max="2" width="42" style="78" customWidth="1"/>
    <col min="3" max="4" width="0.85546875" style="78" customWidth="1"/>
    <col min="5" max="5" width="1.5703125" style="78" customWidth="1"/>
    <col min="6" max="6" width="14.7109375" style="78" customWidth="1"/>
    <col min="7" max="7" width="14.7109375" style="78" hidden="1" customWidth="1"/>
    <col min="8" max="8" width="14.7109375" style="78" customWidth="1"/>
    <col min="9" max="9" width="14.7109375" style="78" hidden="1" customWidth="1"/>
    <col min="10" max="10" width="14.7109375" style="78" customWidth="1"/>
    <col min="11" max="11" width="14.7109375" style="78" hidden="1" customWidth="1"/>
    <col min="12" max="16" width="14.7109375" style="78" customWidth="1"/>
    <col min="17" max="16384" width="9.140625" style="78"/>
  </cols>
  <sheetData>
    <row r="1" spans="1:12" ht="8.25" customHeight="1" thickBot="1" x14ac:dyDescent="0.3">
      <c r="A1" s="73"/>
      <c r="B1" s="234" t="str">
        <f>VLOOKUP(A4,Começo!A:C,3,0)</f>
        <v>Astrologia</v>
      </c>
      <c r="C1" s="73"/>
      <c r="D1" s="73"/>
    </row>
    <row r="2" spans="1:12" ht="15.75" customHeight="1" thickBot="1" x14ac:dyDescent="0.3">
      <c r="A2" s="73"/>
      <c r="B2" s="234"/>
      <c r="C2" s="73"/>
      <c r="D2" s="73"/>
      <c r="F2" s="231" t="s">
        <v>488</v>
      </c>
      <c r="G2" s="85"/>
      <c r="H2" s="237" t="s">
        <v>489</v>
      </c>
      <c r="I2" s="86"/>
      <c r="J2" s="237" t="s">
        <v>85</v>
      </c>
      <c r="K2" s="86"/>
      <c r="L2" s="231" t="s">
        <v>490</v>
      </c>
    </row>
    <row r="3" spans="1:12" ht="15.75" customHeight="1" thickBot="1" x14ac:dyDescent="0.3">
      <c r="A3" s="73"/>
      <c r="B3" s="234"/>
      <c r="C3" s="73"/>
      <c r="D3" s="73"/>
      <c r="F3" s="231"/>
      <c r="G3" s="85"/>
      <c r="H3" s="237"/>
      <c r="I3" s="86"/>
      <c r="J3" s="237"/>
      <c r="K3" s="86"/>
      <c r="L3" s="231"/>
    </row>
    <row r="4" spans="1:12" ht="15.75" customHeight="1" thickBot="1" x14ac:dyDescent="0.3">
      <c r="A4" s="230">
        <v>15</v>
      </c>
      <c r="B4" s="234"/>
      <c r="C4" s="74"/>
      <c r="D4" s="74"/>
      <c r="E4" s="233">
        <v>1</v>
      </c>
      <c r="F4" s="232">
        <f>INDEX(Conteudo!A:R,27,5)</f>
        <v>45377</v>
      </c>
      <c r="G4" s="238">
        <v>1</v>
      </c>
      <c r="H4" s="239">
        <f>INDEX(Conteudo!A:R,27,6)</f>
        <v>10</v>
      </c>
      <c r="I4" s="236">
        <v>1</v>
      </c>
      <c r="J4" s="239">
        <f>INDEX(Conteudo!A:R,27,7)</f>
        <v>4</v>
      </c>
      <c r="K4" s="236">
        <v>1</v>
      </c>
      <c r="L4" s="235">
        <f>INDEX(Conteudo!A:R,27,8)</f>
        <v>0.4</v>
      </c>
    </row>
    <row r="5" spans="1:12" ht="15.75" customHeight="1" thickBot="1" x14ac:dyDescent="0.3">
      <c r="A5" s="230"/>
      <c r="B5" s="234"/>
      <c r="C5" s="74"/>
      <c r="D5" s="74"/>
      <c r="E5" s="233"/>
      <c r="F5" s="232"/>
      <c r="G5" s="238"/>
      <c r="H5" s="239"/>
      <c r="I5" s="236"/>
      <c r="J5" s="239"/>
      <c r="K5" s="236"/>
      <c r="L5" s="235"/>
    </row>
    <row r="6" spans="1:12" ht="30" customHeight="1" thickBot="1" x14ac:dyDescent="0.3">
      <c r="A6" s="18" t="s">
        <v>89</v>
      </c>
      <c r="B6" s="171"/>
      <c r="C6"/>
      <c r="D6" s="73"/>
    </row>
    <row r="7" spans="1:12" ht="30" customHeight="1" thickBot="1" x14ac:dyDescent="0.3">
      <c r="A7" s="18" t="s">
        <v>89</v>
      </c>
      <c r="B7" s="172"/>
      <c r="C7" s="61"/>
      <c r="D7" s="73"/>
      <c r="F7" s="80" t="s">
        <v>79</v>
      </c>
      <c r="G7" s="79"/>
      <c r="H7" s="81">
        <f>IF(Começo!D9="","",INDEX(Começo!A:E,9,4))</f>
        <v>45334</v>
      </c>
      <c r="I7" s="75"/>
      <c r="L7" s="98" t="s">
        <v>493</v>
      </c>
    </row>
    <row r="8" spans="1:12" ht="30" customHeight="1" thickBot="1" x14ac:dyDescent="0.3">
      <c r="A8" s="18" t="s">
        <v>89</v>
      </c>
      <c r="B8" s="172"/>
      <c r="C8" s="61"/>
      <c r="D8" s="73"/>
      <c r="F8" s="80" t="s">
        <v>39</v>
      </c>
      <c r="G8" s="79"/>
      <c r="H8" s="87" t="str">
        <f>IF(Começo!D10="","",INDEX(Começo!A:E,10,4))</f>
        <v>Perito Criminal</v>
      </c>
      <c r="I8" s="76"/>
    </row>
    <row r="9" spans="1:12" ht="30" customHeight="1" thickBot="1" x14ac:dyDescent="0.3">
      <c r="A9" s="18" t="s">
        <v>89</v>
      </c>
      <c r="B9" s="172"/>
      <c r="C9"/>
      <c r="D9" s="73"/>
      <c r="F9" s="80" t="s">
        <v>1</v>
      </c>
      <c r="G9" s="79"/>
      <c r="H9" s="82" t="str">
        <f>INDEX(Começo!A:G,11,4)</f>
        <v>Médio</v>
      </c>
      <c r="I9" s="77"/>
    </row>
    <row r="10" spans="1:12" ht="30" customHeight="1" thickBot="1" x14ac:dyDescent="0.3">
      <c r="A10" s="18" t="s">
        <v>89</v>
      </c>
      <c r="B10" s="172"/>
      <c r="C10"/>
      <c r="D10" s="73"/>
      <c r="I10"/>
    </row>
    <row r="11" spans="1:12" ht="30" customHeight="1" thickBot="1" x14ac:dyDescent="0.3">
      <c r="A11" s="18" t="s">
        <v>89</v>
      </c>
      <c r="B11" s="172"/>
      <c r="C11"/>
      <c r="D11" s="73"/>
      <c r="F11" s="83" t="s">
        <v>491</v>
      </c>
      <c r="I11"/>
      <c r="J11" s="240" t="s">
        <v>478</v>
      </c>
      <c r="K11" s="241"/>
      <c r="L11" s="242"/>
    </row>
    <row r="12" spans="1:12" ht="30" customHeight="1" thickBot="1" x14ac:dyDescent="0.3">
      <c r="A12" s="18" t="s">
        <v>89</v>
      </c>
      <c r="B12" s="172"/>
      <c r="C12"/>
      <c r="D12" s="73"/>
      <c r="F12" s="84">
        <f>INDEX(Começo!A:J,9,10)</f>
        <v>271</v>
      </c>
      <c r="I12"/>
      <c r="J12" s="243" t="str">
        <f>INDEX(Começo!A:K,28,11)</f>
        <v>Excelente</v>
      </c>
      <c r="K12" s="244"/>
      <c r="L12" s="245"/>
    </row>
    <row r="13" spans="1:12" ht="30" customHeight="1" thickBot="1" x14ac:dyDescent="0.3">
      <c r="A13" s="18" t="s">
        <v>89</v>
      </c>
      <c r="B13" s="172"/>
      <c r="C13"/>
      <c r="D13" s="73"/>
      <c r="I13"/>
    </row>
    <row r="14" spans="1:12" ht="30" customHeight="1" thickBot="1" x14ac:dyDescent="0.3">
      <c r="A14" s="18" t="s">
        <v>89</v>
      </c>
      <c r="B14" s="172"/>
      <c r="C14"/>
      <c r="D14" s="73"/>
      <c r="F14" s="92" t="s">
        <v>482</v>
      </c>
      <c r="H14" s="94" t="s">
        <v>86</v>
      </c>
      <c r="I14"/>
      <c r="J14" s="95" t="s">
        <v>87</v>
      </c>
    </row>
    <row r="15" spans="1:12" ht="30" customHeight="1" thickBot="1" x14ac:dyDescent="0.3">
      <c r="A15" s="18" t="s">
        <v>89</v>
      </c>
      <c r="B15" s="172"/>
      <c r="C15"/>
      <c r="D15" s="73"/>
      <c r="H15" s="93"/>
      <c r="I15"/>
      <c r="J15" s="95"/>
    </row>
    <row r="16" spans="1:12" ht="30" customHeight="1" thickBot="1" x14ac:dyDescent="0.3">
      <c r="A16" s="18" t="s">
        <v>89</v>
      </c>
      <c r="B16" s="172"/>
      <c r="C16"/>
      <c r="D16" s="73"/>
      <c r="I16"/>
    </row>
    <row r="17" spans="1:15" ht="30" customHeight="1" thickBot="1" x14ac:dyDescent="0.3">
      <c r="A17" s="18" t="s">
        <v>89</v>
      </c>
      <c r="B17" s="172"/>
      <c r="C17"/>
      <c r="D17" s="73"/>
      <c r="F17" s="89">
        <v>1</v>
      </c>
      <c r="G17" s="89"/>
      <c r="H17" s="89">
        <v>7</v>
      </c>
      <c r="I17" s="89">
        <v>15</v>
      </c>
      <c r="J17" s="89">
        <v>30</v>
      </c>
      <c r="K17" s="89">
        <v>45</v>
      </c>
      <c r="L17" s="89">
        <v>60</v>
      </c>
      <c r="M17" s="89">
        <v>60</v>
      </c>
      <c r="N17" s="89">
        <v>75</v>
      </c>
      <c r="O17" s="89">
        <v>90</v>
      </c>
    </row>
    <row r="18" spans="1:15" ht="30" customHeight="1" thickBot="1" x14ac:dyDescent="0.3">
      <c r="A18" s="18" t="s">
        <v>89</v>
      </c>
      <c r="B18" s="172"/>
      <c r="C18"/>
      <c r="D18" s="73"/>
      <c r="F18" s="88" t="s">
        <v>484</v>
      </c>
      <c r="G18" s="88"/>
      <c r="H18" s="88" t="s">
        <v>485</v>
      </c>
      <c r="I18" s="88" t="s">
        <v>486</v>
      </c>
      <c r="J18" s="88" t="s">
        <v>100</v>
      </c>
      <c r="K18" s="88" t="s">
        <v>487</v>
      </c>
      <c r="L18" s="88" t="s">
        <v>137</v>
      </c>
      <c r="M18" s="88" t="s">
        <v>137</v>
      </c>
      <c r="N18" s="88" t="s">
        <v>138</v>
      </c>
      <c r="O18" s="88" t="s">
        <v>140</v>
      </c>
    </row>
    <row r="19" spans="1:15" ht="30" customHeight="1" thickBot="1" x14ac:dyDescent="0.3">
      <c r="A19" s="18" t="s">
        <v>89</v>
      </c>
      <c r="B19" s="172"/>
      <c r="C19"/>
      <c r="D19" s="73"/>
      <c r="F19" s="89" t="s">
        <v>95</v>
      </c>
      <c r="G19" s="89"/>
      <c r="H19" s="89" t="s">
        <v>96</v>
      </c>
      <c r="I19" s="89" t="s">
        <v>97</v>
      </c>
      <c r="J19" s="89" t="s">
        <v>98</v>
      </c>
      <c r="K19" s="89" t="s">
        <v>136</v>
      </c>
      <c r="L19" s="89" t="s">
        <v>135</v>
      </c>
      <c r="M19" s="89" t="s">
        <v>135</v>
      </c>
      <c r="N19" s="89" t="s">
        <v>139</v>
      </c>
      <c r="O19" s="89" t="s">
        <v>141</v>
      </c>
    </row>
    <row r="20" spans="1:15" ht="30" customHeight="1" thickBot="1" x14ac:dyDescent="0.3">
      <c r="A20" s="18" t="s">
        <v>89</v>
      </c>
      <c r="B20" s="172"/>
      <c r="C20"/>
      <c r="D20" s="73"/>
      <c r="F20" s="90">
        <f>SUM(INDEX(Conteudo!A:L,27,5),1)</f>
        <v>45378</v>
      </c>
      <c r="G20" s="91"/>
      <c r="H20" s="90">
        <f>SUM($F$20,H17)</f>
        <v>45385</v>
      </c>
      <c r="I20" s="90">
        <f t="shared" ref="I20:O20" si="0">SUM($F$20,I17)</f>
        <v>45393</v>
      </c>
      <c r="J20" s="90">
        <f t="shared" si="0"/>
        <v>45408</v>
      </c>
      <c r="K20" s="90">
        <f t="shared" si="0"/>
        <v>45423</v>
      </c>
      <c r="L20" s="90">
        <f t="shared" si="0"/>
        <v>45438</v>
      </c>
      <c r="M20" s="90">
        <f t="shared" si="0"/>
        <v>45438</v>
      </c>
      <c r="N20" s="90">
        <f t="shared" si="0"/>
        <v>45453</v>
      </c>
      <c r="O20" s="90">
        <f t="shared" si="0"/>
        <v>45468</v>
      </c>
    </row>
    <row r="21" spans="1:15" ht="30" customHeight="1" thickBot="1" x14ac:dyDescent="0.3">
      <c r="A21" s="18" t="s">
        <v>89</v>
      </c>
      <c r="B21" s="172"/>
      <c r="C21"/>
      <c r="D21" s="73"/>
      <c r="I21"/>
    </row>
    <row r="22" spans="1:15" ht="30" customHeight="1" thickBot="1" x14ac:dyDescent="0.3">
      <c r="A22" s="18" t="s">
        <v>89</v>
      </c>
      <c r="B22" s="172"/>
      <c r="C22"/>
      <c r="D22" s="73"/>
      <c r="I22"/>
    </row>
    <row r="23" spans="1:15" ht="30" customHeight="1" thickBot="1" x14ac:dyDescent="0.3">
      <c r="A23" s="18" t="s">
        <v>89</v>
      </c>
      <c r="B23" s="172"/>
      <c r="C23"/>
      <c r="D23" s="73"/>
      <c r="I23"/>
    </row>
    <row r="24" spans="1:15" ht="30" customHeight="1" thickBot="1" x14ac:dyDescent="0.3">
      <c r="A24" s="18" t="s">
        <v>89</v>
      </c>
      <c r="B24" s="172"/>
      <c r="C24"/>
      <c r="D24" s="73"/>
      <c r="I24"/>
    </row>
    <row r="25" spans="1:15" ht="30" customHeight="1" thickBot="1" x14ac:dyDescent="0.3">
      <c r="A25" s="18" t="s">
        <v>89</v>
      </c>
      <c r="B25" s="172"/>
      <c r="C25"/>
      <c r="D25" s="73"/>
      <c r="I25"/>
    </row>
    <row r="26" spans="1:15" ht="30" customHeight="1" thickBot="1" x14ac:dyDescent="0.3">
      <c r="A26" s="18" t="s">
        <v>89</v>
      </c>
      <c r="B26" s="172"/>
      <c r="C26"/>
      <c r="D26" s="73"/>
      <c r="I26"/>
    </row>
    <row r="27" spans="1:15" ht="30" customHeight="1" thickBot="1" x14ac:dyDescent="0.3">
      <c r="A27" s="18" t="s">
        <v>89</v>
      </c>
      <c r="B27" s="172"/>
      <c r="C27"/>
      <c r="D27" s="73"/>
      <c r="I27"/>
    </row>
    <row r="28" spans="1:15" ht="30" customHeight="1" thickBot="1" x14ac:dyDescent="0.3">
      <c r="A28" s="18" t="s">
        <v>89</v>
      </c>
      <c r="B28" s="172"/>
      <c r="C28"/>
      <c r="D28" s="73"/>
      <c r="I28"/>
    </row>
    <row r="29" spans="1:15" ht="30" customHeight="1" thickBot="1" x14ac:dyDescent="0.3">
      <c r="A29" s="18" t="s">
        <v>89</v>
      </c>
      <c r="B29" s="172"/>
      <c r="C29"/>
      <c r="D29" s="73"/>
      <c r="I29"/>
    </row>
    <row r="30" spans="1:15" ht="30" customHeight="1" thickBot="1" x14ac:dyDescent="0.3">
      <c r="A30" s="18" t="s">
        <v>89</v>
      </c>
      <c r="B30" s="172"/>
      <c r="C30"/>
      <c r="D30" s="73"/>
      <c r="I30"/>
    </row>
    <row r="31" spans="1:15" x14ac:dyDescent="0.25">
      <c r="A31"/>
      <c r="B31"/>
      <c r="C31"/>
      <c r="D31" s="73"/>
    </row>
  </sheetData>
  <sheetProtection algorithmName="SHA-512" hashValue="h1TVW8IU++nPd9gbpj1I6AzsRUkCxH5jh5eDRLyVyDBBQ/Y/5/pJHWl45Hhtn0UWwGNewovBmmAlaZ0sC26GwA==" saltValue="bZw/TXAy6p3FJGvu4obJow==" spinCount="100000" sheet="1" objects="1" scenarios="1"/>
  <mergeCells count="16">
    <mergeCell ref="J11:L11"/>
    <mergeCell ref="J12:L12"/>
    <mergeCell ref="A4:A5"/>
    <mergeCell ref="E4:E5"/>
    <mergeCell ref="F4:F5"/>
    <mergeCell ref="G4:G5"/>
    <mergeCell ref="H4:H5"/>
    <mergeCell ref="I4:I5"/>
    <mergeCell ref="J4:J5"/>
    <mergeCell ref="K4:K5"/>
    <mergeCell ref="L4:L5"/>
    <mergeCell ref="B1:B5"/>
    <mergeCell ref="F2:F3"/>
    <mergeCell ref="H2:H3"/>
    <mergeCell ref="J2:J3"/>
    <mergeCell ref="L2:L3"/>
  </mergeCells>
  <conditionalFormatting sqref="H9">
    <cfRule type="containsText" dxfId="95" priority="4" operator="containsText" text="Difícil">
      <formula>NOT(ISERROR(SEARCH("Difícil",H9)))</formula>
    </cfRule>
    <cfRule type="containsText" dxfId="94" priority="5" operator="containsText" text="Médio">
      <formula>NOT(ISERROR(SEARCH("Médio",H9)))</formula>
    </cfRule>
    <cfRule type="containsText" dxfId="93" priority="6" operator="containsText" text="Facíl">
      <formula>NOT(ISERROR(SEARCH("Facíl",H9)))</formula>
    </cfRule>
  </conditionalFormatting>
  <conditionalFormatting sqref="H14">
    <cfRule type="containsText" dxfId="92" priority="1" operator="containsText" text="Difícil">
      <formula>NOT(ISERROR(SEARCH("Difícil",H14)))</formula>
    </cfRule>
    <cfRule type="containsText" dxfId="91" priority="2" operator="containsText" text="Médio">
      <formula>NOT(ISERROR(SEARCH("Médio",H14)))</formula>
    </cfRule>
    <cfRule type="containsText" dxfId="90" priority="3" operator="containsText" text="Facíl">
      <formula>NOT(ISERROR(SEARCH("Facíl",H14)))</formula>
    </cfRule>
  </conditionalFormatting>
  <hyperlinks>
    <hyperlink ref="F14" r:id="rId1" tooltip="Site de Simulado" xr:uid="{00000000-0004-0000-1300-000000000000}"/>
    <hyperlink ref="H14:H15" r:id="rId2" tooltip="Pagina de Pesquisa do Google" display="Google" xr:uid="{00000000-0004-0000-1300-000001000000}"/>
    <hyperlink ref="J14:J15" r:id="rId3" tooltip="Pagina do Youtube " display="Youtube" xr:uid="{00000000-0004-0000-1300-000002000000}"/>
    <hyperlink ref="L7" location="Conteudo!A1" display="◄ Voltar" xr:uid="{00000000-0004-0000-1300-000003000000}"/>
  </hyperlinks>
  <pageMargins left="0.511811024" right="0.511811024" top="0.78740157499999996" bottom="0.78740157499999996" header="0.31496062000000002" footer="0.31496062000000002"/>
  <drawing r:id="rId4"/>
  <legacyDrawing r:id="rId5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21"/>
  <dimension ref="A1:O31"/>
  <sheetViews>
    <sheetView showGridLines="0" showRowColHeaders="0" workbookViewId="0">
      <selection activeCell="B6" sqref="B6:B30"/>
    </sheetView>
  </sheetViews>
  <sheetFormatPr defaultRowHeight="15" x14ac:dyDescent="0.25"/>
  <cols>
    <col min="1" max="1" width="3.140625" style="78" customWidth="1"/>
    <col min="2" max="2" width="42" style="78" customWidth="1"/>
    <col min="3" max="4" width="0.85546875" style="78" customWidth="1"/>
    <col min="5" max="5" width="1.5703125" style="78" customWidth="1"/>
    <col min="6" max="6" width="14.7109375" style="78" customWidth="1"/>
    <col min="7" max="7" width="14.7109375" style="78" hidden="1" customWidth="1"/>
    <col min="8" max="8" width="14.7109375" style="78" customWidth="1"/>
    <col min="9" max="9" width="14.7109375" style="78" hidden="1" customWidth="1"/>
    <col min="10" max="10" width="14.7109375" style="78" customWidth="1"/>
    <col min="11" max="11" width="14.7109375" style="78" hidden="1" customWidth="1"/>
    <col min="12" max="16" width="14.7109375" style="78" customWidth="1"/>
    <col min="17" max="16384" width="9.140625" style="78"/>
  </cols>
  <sheetData>
    <row r="1" spans="1:12" ht="8.25" customHeight="1" thickBot="1" x14ac:dyDescent="0.3">
      <c r="A1" s="73"/>
      <c r="B1" s="234" t="str">
        <f>VLOOKUP(A4,Começo!A:C,3,0)</f>
        <v>Colorimetria</v>
      </c>
      <c r="C1" s="73"/>
      <c r="D1" s="73"/>
    </row>
    <row r="2" spans="1:12" ht="15.75" customHeight="1" thickBot="1" x14ac:dyDescent="0.3">
      <c r="A2" s="73"/>
      <c r="B2" s="234"/>
      <c r="C2" s="73"/>
      <c r="D2" s="73"/>
      <c r="F2" s="231" t="s">
        <v>488</v>
      </c>
      <c r="G2" s="85"/>
      <c r="H2" s="237" t="s">
        <v>489</v>
      </c>
      <c r="I2" s="86"/>
      <c r="J2" s="237" t="s">
        <v>85</v>
      </c>
      <c r="K2" s="86"/>
      <c r="L2" s="231" t="s">
        <v>490</v>
      </c>
    </row>
    <row r="3" spans="1:12" ht="15.75" customHeight="1" thickBot="1" x14ac:dyDescent="0.3">
      <c r="A3" s="73"/>
      <c r="B3" s="234"/>
      <c r="C3" s="73"/>
      <c r="D3" s="73"/>
      <c r="F3" s="231"/>
      <c r="G3" s="85"/>
      <c r="H3" s="237"/>
      <c r="I3" s="86"/>
      <c r="J3" s="237"/>
      <c r="K3" s="86"/>
      <c r="L3" s="231"/>
    </row>
    <row r="4" spans="1:12" ht="15.75" customHeight="1" thickBot="1" x14ac:dyDescent="0.3">
      <c r="A4" s="230">
        <v>16</v>
      </c>
      <c r="B4" s="234"/>
      <c r="C4" s="74"/>
      <c r="D4" s="74"/>
      <c r="E4" s="233">
        <v>1</v>
      </c>
      <c r="F4" s="232">
        <f>INDEX(Conteudo!A:R,28,5)</f>
        <v>45378</v>
      </c>
      <c r="G4" s="238">
        <v>1</v>
      </c>
      <c r="H4" s="239">
        <f>INDEX(Conteudo!A:R,28,6)</f>
        <v>10</v>
      </c>
      <c r="I4" s="236">
        <v>1</v>
      </c>
      <c r="J4" s="239">
        <f>INDEX(Conteudo!A:R,28,7)</f>
        <v>10</v>
      </c>
      <c r="K4" s="236">
        <v>1</v>
      </c>
      <c r="L4" s="235">
        <f>INDEX(Conteudo!A:R,28,8)</f>
        <v>1</v>
      </c>
    </row>
    <row r="5" spans="1:12" ht="15.75" customHeight="1" thickBot="1" x14ac:dyDescent="0.3">
      <c r="A5" s="230"/>
      <c r="B5" s="234"/>
      <c r="C5" s="74"/>
      <c r="D5" s="74"/>
      <c r="E5" s="233"/>
      <c r="F5" s="232"/>
      <c r="G5" s="238"/>
      <c r="H5" s="239"/>
      <c r="I5" s="236"/>
      <c r="J5" s="239"/>
      <c r="K5" s="236"/>
      <c r="L5" s="235"/>
    </row>
    <row r="6" spans="1:12" ht="30" customHeight="1" thickBot="1" x14ac:dyDescent="0.3">
      <c r="A6" s="18" t="s">
        <v>89</v>
      </c>
      <c r="B6" s="171"/>
      <c r="C6"/>
      <c r="D6" s="73"/>
    </row>
    <row r="7" spans="1:12" ht="30" customHeight="1" thickBot="1" x14ac:dyDescent="0.3">
      <c r="A7" s="18" t="s">
        <v>89</v>
      </c>
      <c r="B7" s="172"/>
      <c r="C7" s="61"/>
      <c r="D7" s="73"/>
      <c r="F7" s="80" t="s">
        <v>79</v>
      </c>
      <c r="G7" s="79"/>
      <c r="H7" s="81">
        <f>IF(Começo!D9="","",INDEX(Começo!A:E,9,4))</f>
        <v>45334</v>
      </c>
      <c r="I7" s="75"/>
      <c r="L7" s="98" t="s">
        <v>493</v>
      </c>
    </row>
    <row r="8" spans="1:12" ht="30" customHeight="1" thickBot="1" x14ac:dyDescent="0.3">
      <c r="A8" s="18" t="s">
        <v>89</v>
      </c>
      <c r="B8" s="172"/>
      <c r="C8" s="61"/>
      <c r="D8" s="73"/>
      <c r="F8" s="80" t="s">
        <v>39</v>
      </c>
      <c r="G8" s="79"/>
      <c r="H8" s="87" t="str">
        <f>IF(Começo!D10="","",INDEX(Começo!A:E,10,4))</f>
        <v>Perito Criminal</v>
      </c>
      <c r="I8" s="76"/>
    </row>
    <row r="9" spans="1:12" ht="30" customHeight="1" thickBot="1" x14ac:dyDescent="0.3">
      <c r="A9" s="18" t="s">
        <v>89</v>
      </c>
      <c r="B9" s="172"/>
      <c r="C9"/>
      <c r="D9" s="73"/>
      <c r="F9" s="80" t="s">
        <v>1</v>
      </c>
      <c r="G9" s="79"/>
      <c r="H9" s="82" t="str">
        <f>INDEX(Começo!A:G,11,4)</f>
        <v>Médio</v>
      </c>
      <c r="I9" s="77"/>
    </row>
    <row r="10" spans="1:12" ht="30" customHeight="1" thickBot="1" x14ac:dyDescent="0.3">
      <c r="A10" s="18" t="s">
        <v>89</v>
      </c>
      <c r="B10" s="172"/>
      <c r="C10"/>
      <c r="D10" s="73"/>
      <c r="I10"/>
    </row>
    <row r="11" spans="1:12" ht="30" customHeight="1" thickBot="1" x14ac:dyDescent="0.3">
      <c r="A11" s="18" t="s">
        <v>89</v>
      </c>
      <c r="B11" s="172"/>
      <c r="C11"/>
      <c r="D11" s="73"/>
      <c r="F11" s="83" t="s">
        <v>491</v>
      </c>
      <c r="I11"/>
      <c r="J11" s="240" t="s">
        <v>478</v>
      </c>
      <c r="K11" s="241"/>
      <c r="L11" s="242"/>
    </row>
    <row r="12" spans="1:12" ht="30" customHeight="1" thickBot="1" x14ac:dyDescent="0.3">
      <c r="A12" s="18" t="s">
        <v>89</v>
      </c>
      <c r="B12" s="172"/>
      <c r="C12"/>
      <c r="D12" s="73"/>
      <c r="F12" s="84">
        <f>INDEX(Começo!A:J,9,10)</f>
        <v>271</v>
      </c>
      <c r="I12"/>
      <c r="J12" s="243" t="str">
        <f>INDEX(Começo!A:K,29,11)</f>
        <v>Razoavel</v>
      </c>
      <c r="K12" s="244"/>
      <c r="L12" s="245"/>
    </row>
    <row r="13" spans="1:12" ht="30" customHeight="1" thickBot="1" x14ac:dyDescent="0.3">
      <c r="A13" s="18" t="s">
        <v>89</v>
      </c>
      <c r="B13" s="172"/>
      <c r="C13"/>
      <c r="D13" s="73"/>
      <c r="I13"/>
    </row>
    <row r="14" spans="1:12" ht="30" customHeight="1" thickBot="1" x14ac:dyDescent="0.3">
      <c r="A14" s="18" t="s">
        <v>89</v>
      </c>
      <c r="B14" s="172"/>
      <c r="C14"/>
      <c r="D14" s="73"/>
      <c r="F14" s="92" t="s">
        <v>482</v>
      </c>
      <c r="H14" s="94" t="s">
        <v>86</v>
      </c>
      <c r="I14"/>
      <c r="J14" s="95" t="s">
        <v>87</v>
      </c>
    </row>
    <row r="15" spans="1:12" ht="30" customHeight="1" thickBot="1" x14ac:dyDescent="0.3">
      <c r="A15" s="18" t="s">
        <v>89</v>
      </c>
      <c r="B15" s="172"/>
      <c r="C15"/>
      <c r="D15" s="73"/>
      <c r="H15" s="93"/>
      <c r="I15"/>
      <c r="J15" s="95"/>
    </row>
    <row r="16" spans="1:12" ht="30" customHeight="1" thickBot="1" x14ac:dyDescent="0.3">
      <c r="A16" s="18" t="s">
        <v>89</v>
      </c>
      <c r="B16" s="172"/>
      <c r="C16"/>
      <c r="D16" s="73"/>
      <c r="I16"/>
    </row>
    <row r="17" spans="1:15" ht="30" customHeight="1" thickBot="1" x14ac:dyDescent="0.3">
      <c r="A17" s="18" t="s">
        <v>89</v>
      </c>
      <c r="B17" s="172"/>
      <c r="C17"/>
      <c r="D17" s="73"/>
      <c r="F17" s="89">
        <v>1</v>
      </c>
      <c r="G17" s="89"/>
      <c r="H17" s="89">
        <v>7</v>
      </c>
      <c r="I17" s="89">
        <v>15</v>
      </c>
      <c r="J17" s="89">
        <v>30</v>
      </c>
      <c r="K17" s="89">
        <v>45</v>
      </c>
      <c r="L17" s="89">
        <v>60</v>
      </c>
      <c r="M17" s="89">
        <v>60</v>
      </c>
      <c r="N17" s="89">
        <v>75</v>
      </c>
      <c r="O17" s="89">
        <v>90</v>
      </c>
    </row>
    <row r="18" spans="1:15" ht="30" customHeight="1" thickBot="1" x14ac:dyDescent="0.3">
      <c r="A18" s="18" t="s">
        <v>89</v>
      </c>
      <c r="B18" s="172"/>
      <c r="C18"/>
      <c r="D18" s="73"/>
      <c r="F18" s="88" t="s">
        <v>484</v>
      </c>
      <c r="G18" s="88"/>
      <c r="H18" s="88" t="s">
        <v>485</v>
      </c>
      <c r="I18" s="88" t="s">
        <v>486</v>
      </c>
      <c r="J18" s="88" t="s">
        <v>100</v>
      </c>
      <c r="K18" s="88" t="s">
        <v>487</v>
      </c>
      <c r="L18" s="88" t="s">
        <v>137</v>
      </c>
      <c r="M18" s="88" t="s">
        <v>137</v>
      </c>
      <c r="N18" s="88" t="s">
        <v>138</v>
      </c>
      <c r="O18" s="88" t="s">
        <v>140</v>
      </c>
    </row>
    <row r="19" spans="1:15" ht="30" customHeight="1" thickBot="1" x14ac:dyDescent="0.3">
      <c r="A19" s="18" t="s">
        <v>89</v>
      </c>
      <c r="B19" s="172"/>
      <c r="C19"/>
      <c r="D19" s="73"/>
      <c r="F19" s="89" t="s">
        <v>95</v>
      </c>
      <c r="G19" s="89"/>
      <c r="H19" s="89" t="s">
        <v>96</v>
      </c>
      <c r="I19" s="89" t="s">
        <v>97</v>
      </c>
      <c r="J19" s="89" t="s">
        <v>98</v>
      </c>
      <c r="K19" s="89" t="s">
        <v>136</v>
      </c>
      <c r="L19" s="89" t="s">
        <v>135</v>
      </c>
      <c r="M19" s="89" t="s">
        <v>135</v>
      </c>
      <c r="N19" s="89" t="s">
        <v>139</v>
      </c>
      <c r="O19" s="89" t="s">
        <v>141</v>
      </c>
    </row>
    <row r="20" spans="1:15" ht="30" customHeight="1" thickBot="1" x14ac:dyDescent="0.3">
      <c r="A20" s="18" t="s">
        <v>89</v>
      </c>
      <c r="B20" s="172"/>
      <c r="C20"/>
      <c r="D20" s="73"/>
      <c r="F20" s="90">
        <f>SUM(INDEX(Conteudo!A:L,28,5),1)</f>
        <v>45379</v>
      </c>
      <c r="G20" s="91"/>
      <c r="H20" s="90">
        <f>SUM($F$20,H17)</f>
        <v>45386</v>
      </c>
      <c r="I20" s="90">
        <f t="shared" ref="I20:O20" si="0">SUM($F$20,I17)</f>
        <v>45394</v>
      </c>
      <c r="J20" s="90">
        <f t="shared" si="0"/>
        <v>45409</v>
      </c>
      <c r="K20" s="90">
        <f t="shared" si="0"/>
        <v>45424</v>
      </c>
      <c r="L20" s="90">
        <f t="shared" si="0"/>
        <v>45439</v>
      </c>
      <c r="M20" s="90">
        <f t="shared" si="0"/>
        <v>45439</v>
      </c>
      <c r="N20" s="90">
        <f t="shared" si="0"/>
        <v>45454</v>
      </c>
      <c r="O20" s="90">
        <f t="shared" si="0"/>
        <v>45469</v>
      </c>
    </row>
    <row r="21" spans="1:15" ht="30" customHeight="1" thickBot="1" x14ac:dyDescent="0.3">
      <c r="A21" s="18" t="s">
        <v>89</v>
      </c>
      <c r="B21" s="172"/>
      <c r="C21"/>
      <c r="D21" s="73"/>
      <c r="I21"/>
    </row>
    <row r="22" spans="1:15" ht="30" customHeight="1" thickBot="1" x14ac:dyDescent="0.3">
      <c r="A22" s="18" t="s">
        <v>89</v>
      </c>
      <c r="B22" s="172"/>
      <c r="C22"/>
      <c r="D22" s="73"/>
      <c r="I22"/>
    </row>
    <row r="23" spans="1:15" ht="30" customHeight="1" thickBot="1" x14ac:dyDescent="0.3">
      <c r="A23" s="18" t="s">
        <v>89</v>
      </c>
      <c r="B23" s="172"/>
      <c r="C23"/>
      <c r="D23" s="73"/>
      <c r="I23"/>
    </row>
    <row r="24" spans="1:15" ht="30" customHeight="1" thickBot="1" x14ac:dyDescent="0.3">
      <c r="A24" s="18" t="s">
        <v>89</v>
      </c>
      <c r="B24" s="172"/>
      <c r="C24"/>
      <c r="D24" s="73"/>
      <c r="I24"/>
    </row>
    <row r="25" spans="1:15" ht="30" customHeight="1" thickBot="1" x14ac:dyDescent="0.3">
      <c r="A25" s="18" t="s">
        <v>89</v>
      </c>
      <c r="B25" s="172"/>
      <c r="C25"/>
      <c r="D25" s="73"/>
      <c r="I25"/>
    </row>
    <row r="26" spans="1:15" ht="30" customHeight="1" thickBot="1" x14ac:dyDescent="0.3">
      <c r="A26" s="18" t="s">
        <v>89</v>
      </c>
      <c r="B26" s="172"/>
      <c r="C26"/>
      <c r="D26" s="73"/>
      <c r="I26"/>
    </row>
    <row r="27" spans="1:15" ht="30" customHeight="1" thickBot="1" x14ac:dyDescent="0.3">
      <c r="A27" s="18" t="s">
        <v>89</v>
      </c>
      <c r="B27" s="172"/>
      <c r="C27"/>
      <c r="D27" s="73"/>
      <c r="I27"/>
    </row>
    <row r="28" spans="1:15" ht="30" customHeight="1" thickBot="1" x14ac:dyDescent="0.3">
      <c r="A28" s="18" t="s">
        <v>89</v>
      </c>
      <c r="B28" s="172"/>
      <c r="C28"/>
      <c r="D28" s="73"/>
      <c r="I28"/>
    </row>
    <row r="29" spans="1:15" ht="30" customHeight="1" thickBot="1" x14ac:dyDescent="0.3">
      <c r="A29" s="18" t="s">
        <v>89</v>
      </c>
      <c r="B29" s="172"/>
      <c r="C29"/>
      <c r="D29" s="73"/>
      <c r="I29"/>
    </row>
    <row r="30" spans="1:15" ht="30" customHeight="1" thickBot="1" x14ac:dyDescent="0.3">
      <c r="A30" s="18" t="s">
        <v>89</v>
      </c>
      <c r="B30" s="172"/>
      <c r="C30"/>
      <c r="D30" s="73"/>
      <c r="I30"/>
    </row>
    <row r="31" spans="1:15" x14ac:dyDescent="0.25">
      <c r="A31"/>
      <c r="B31"/>
      <c r="C31"/>
      <c r="D31" s="73"/>
    </row>
  </sheetData>
  <sheetProtection algorithmName="SHA-512" hashValue="/HAk85u4UdKSmaYRvxlyAxAMhqiXvZmmxT2ppH4D76f9+APRs7v1CshXmttYnVi3dLqA3rEV+vK+R2Y9AwlXyA==" saltValue="1pqq9WkDAuDu9BrW8PpjQA==" spinCount="100000" sheet="1" objects="1" scenarios="1"/>
  <mergeCells count="16">
    <mergeCell ref="J11:L11"/>
    <mergeCell ref="J12:L12"/>
    <mergeCell ref="A4:A5"/>
    <mergeCell ref="E4:E5"/>
    <mergeCell ref="F4:F5"/>
    <mergeCell ref="G4:G5"/>
    <mergeCell ref="H4:H5"/>
    <mergeCell ref="I4:I5"/>
    <mergeCell ref="J4:J5"/>
    <mergeCell ref="K4:K5"/>
    <mergeCell ref="L4:L5"/>
    <mergeCell ref="B1:B5"/>
    <mergeCell ref="F2:F3"/>
    <mergeCell ref="H2:H3"/>
    <mergeCell ref="J2:J3"/>
    <mergeCell ref="L2:L3"/>
  </mergeCells>
  <conditionalFormatting sqref="H9">
    <cfRule type="containsText" dxfId="89" priority="4" operator="containsText" text="Difícil">
      <formula>NOT(ISERROR(SEARCH("Difícil",H9)))</formula>
    </cfRule>
    <cfRule type="containsText" dxfId="88" priority="5" operator="containsText" text="Médio">
      <formula>NOT(ISERROR(SEARCH("Médio",H9)))</formula>
    </cfRule>
    <cfRule type="containsText" dxfId="87" priority="6" operator="containsText" text="Facíl">
      <formula>NOT(ISERROR(SEARCH("Facíl",H9)))</formula>
    </cfRule>
  </conditionalFormatting>
  <conditionalFormatting sqref="H14">
    <cfRule type="containsText" dxfId="86" priority="1" operator="containsText" text="Difícil">
      <formula>NOT(ISERROR(SEARCH("Difícil",H14)))</formula>
    </cfRule>
    <cfRule type="containsText" dxfId="85" priority="2" operator="containsText" text="Médio">
      <formula>NOT(ISERROR(SEARCH("Médio",H14)))</formula>
    </cfRule>
    <cfRule type="containsText" dxfId="84" priority="3" operator="containsText" text="Facíl">
      <formula>NOT(ISERROR(SEARCH("Facíl",H14)))</formula>
    </cfRule>
  </conditionalFormatting>
  <hyperlinks>
    <hyperlink ref="F14" r:id="rId1" tooltip="Site de Simulado" xr:uid="{00000000-0004-0000-1400-000000000000}"/>
    <hyperlink ref="H14:H15" r:id="rId2" tooltip="Pagina de Pesquisa do Google" display="Google" xr:uid="{00000000-0004-0000-1400-000001000000}"/>
    <hyperlink ref="J14:J15" r:id="rId3" tooltip="Pagina do Youtube " display="Youtube" xr:uid="{00000000-0004-0000-1400-000002000000}"/>
    <hyperlink ref="L7" location="Conteudo!A1" display="◄ Voltar" xr:uid="{00000000-0004-0000-1400-000003000000}"/>
  </hyperlinks>
  <pageMargins left="0.511811024" right="0.511811024" top="0.78740157499999996" bottom="0.78740157499999996" header="0.31496062000000002" footer="0.31496062000000002"/>
  <drawing r:id="rId4"/>
  <legacyDrawing r:id="rId5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22"/>
  <dimension ref="A1:AL32"/>
  <sheetViews>
    <sheetView showGridLines="0" workbookViewId="0">
      <pane ySplit="4" topLeftCell="A5" activePane="bottomLeft" state="frozen"/>
      <selection activeCell="A5" sqref="A5"/>
      <selection pane="bottomLeft" activeCell="E8" sqref="E8:E9"/>
    </sheetView>
  </sheetViews>
  <sheetFormatPr defaultRowHeight="15" x14ac:dyDescent="0.25"/>
  <cols>
    <col min="1" max="1" width="3.85546875" style="27" customWidth="1"/>
    <col min="2" max="2" width="7.85546875" style="27" bestFit="1" customWidth="1"/>
    <col min="3" max="3" width="10.140625" style="27" bestFit="1" customWidth="1"/>
    <col min="4" max="4" width="7.28515625" style="27" bestFit="1" customWidth="1"/>
    <col min="5" max="5" width="5.7109375" style="27" bestFit="1" customWidth="1"/>
    <col min="6" max="6" width="6.28515625" style="27" bestFit="1" customWidth="1"/>
    <col min="7" max="7" width="6.85546875" style="27" bestFit="1" customWidth="1"/>
    <col min="8" max="8" width="6.7109375" style="27" bestFit="1" customWidth="1"/>
    <col min="9" max="9" width="7.85546875" style="27" bestFit="1" customWidth="1"/>
    <col min="10" max="10" width="10.5703125" style="27" bestFit="1" customWidth="1"/>
    <col min="11" max="11" width="9.7109375" style="27" bestFit="1" customWidth="1"/>
    <col min="12" max="13" width="12.42578125" style="27" bestFit="1" customWidth="1"/>
    <col min="14" max="16384" width="9.140625" style="27"/>
  </cols>
  <sheetData>
    <row r="1" spans="1:38" s="38" customFormat="1" x14ac:dyDescent="0.25"/>
    <row r="2" spans="1:38" s="38" customFormat="1" x14ac:dyDescent="0.25"/>
    <row r="3" spans="1:38" s="38" customFormat="1" x14ac:dyDescent="0.25"/>
    <row r="4" spans="1:38" s="38" customFormat="1" x14ac:dyDescent="0.25"/>
    <row r="5" spans="1:38" s="63" customFormat="1" ht="3.95" customHeight="1" x14ac:dyDescent="0.25"/>
    <row r="6" spans="1:38" ht="15" customHeight="1" x14ac:dyDescent="0.25"/>
    <row r="7" spans="1:38" ht="15" customHeight="1" x14ac:dyDescent="0.25">
      <c r="O7" s="246" t="s">
        <v>36</v>
      </c>
      <c r="P7" s="246"/>
      <c r="Q7" s="246"/>
    </row>
    <row r="8" spans="1:38" ht="15" customHeight="1" x14ac:dyDescent="0.25">
      <c r="A8" s="31"/>
      <c r="B8" s="197" t="s">
        <v>133</v>
      </c>
      <c r="C8" s="197" t="s">
        <v>25</v>
      </c>
      <c r="D8" s="197" t="s">
        <v>26</v>
      </c>
      <c r="E8" s="197" t="s">
        <v>27</v>
      </c>
      <c r="F8" s="197" t="s">
        <v>28</v>
      </c>
      <c r="G8" s="197" t="s">
        <v>29</v>
      </c>
      <c r="H8" s="197" t="s">
        <v>30</v>
      </c>
      <c r="I8" s="197" t="s">
        <v>31</v>
      </c>
      <c r="J8" s="197" t="s">
        <v>32</v>
      </c>
      <c r="K8" s="197" t="s">
        <v>33</v>
      </c>
      <c r="L8" s="197" t="s">
        <v>34</v>
      </c>
      <c r="M8" s="197" t="s">
        <v>35</v>
      </c>
      <c r="N8" s="48"/>
      <c r="O8" s="196">
        <f>SUM(G12:J27)</f>
        <v>0</v>
      </c>
      <c r="P8" s="196"/>
      <c r="Q8" s="196"/>
    </row>
    <row r="9" spans="1:38" ht="15" customHeight="1" x14ac:dyDescent="0.25">
      <c r="A9" s="31"/>
      <c r="B9" s="197"/>
      <c r="C9" s="197"/>
      <c r="D9" s="197"/>
      <c r="E9" s="197"/>
      <c r="F9" s="197"/>
      <c r="G9" s="197"/>
      <c r="H9" s="197"/>
      <c r="I9" s="197"/>
      <c r="J9" s="197"/>
      <c r="K9" s="197"/>
      <c r="L9" s="197"/>
      <c r="M9" s="197"/>
      <c r="O9" s="196"/>
      <c r="P9" s="196"/>
      <c r="Q9" s="196"/>
    </row>
    <row r="10" spans="1:38" ht="15" customHeight="1" x14ac:dyDescent="0.25">
      <c r="A10" s="18"/>
      <c r="B10" s="18"/>
      <c r="C10" s="18"/>
      <c r="D10" s="18"/>
      <c r="E10" s="18"/>
      <c r="F10" s="18"/>
      <c r="G10" s="18"/>
      <c r="H10" s="18"/>
      <c r="I10" s="18"/>
      <c r="J10" s="18"/>
      <c r="O10" s="32"/>
      <c r="P10" s="32"/>
      <c r="Q10" s="32"/>
    </row>
    <row r="11" spans="1:38" ht="20.25" x14ac:dyDescent="0.25">
      <c r="A11" s="19"/>
      <c r="B11" s="198" t="s">
        <v>134</v>
      </c>
      <c r="C11" s="198"/>
      <c r="D11" s="198"/>
      <c r="E11" s="198"/>
      <c r="F11" s="198"/>
      <c r="G11" s="195" t="s">
        <v>37</v>
      </c>
      <c r="H11" s="195"/>
      <c r="I11" s="195"/>
      <c r="J11" s="195"/>
      <c r="K11" s="20" t="s">
        <v>145</v>
      </c>
      <c r="L11" s="20" t="s">
        <v>146</v>
      </c>
      <c r="M11" s="20" t="s">
        <v>147</v>
      </c>
      <c r="N11" s="20" t="s">
        <v>148</v>
      </c>
      <c r="O11" s="20" t="s">
        <v>149</v>
      </c>
      <c r="P11" s="20" t="s">
        <v>150</v>
      </c>
      <c r="Q11" s="20" t="s">
        <v>151</v>
      </c>
      <c r="R11" s="20" t="s">
        <v>109</v>
      </c>
      <c r="S11" s="20" t="s">
        <v>152</v>
      </c>
      <c r="T11" s="20" t="s">
        <v>153</v>
      </c>
      <c r="U11" s="20" t="s">
        <v>154</v>
      </c>
      <c r="V11" s="20" t="s">
        <v>155</v>
      </c>
      <c r="W11" s="20" t="s">
        <v>156</v>
      </c>
      <c r="X11" s="20" t="s">
        <v>157</v>
      </c>
      <c r="Y11" s="20" t="s">
        <v>158</v>
      </c>
      <c r="Z11" s="20" t="s">
        <v>159</v>
      </c>
      <c r="AA11" s="20" t="s">
        <v>160</v>
      </c>
      <c r="AB11" s="20" t="s">
        <v>161</v>
      </c>
      <c r="AC11" s="20" t="s">
        <v>162</v>
      </c>
      <c r="AD11" s="21" t="s">
        <v>163</v>
      </c>
      <c r="AE11" s="21" t="s">
        <v>164</v>
      </c>
      <c r="AF11" s="21" t="s">
        <v>123</v>
      </c>
      <c r="AG11" s="21" t="s">
        <v>165</v>
      </c>
      <c r="AH11" s="21" t="s">
        <v>166</v>
      </c>
      <c r="AI11" s="21" t="s">
        <v>167</v>
      </c>
      <c r="AJ11" s="21" t="s">
        <v>168</v>
      </c>
      <c r="AK11" s="21" t="s">
        <v>169</v>
      </c>
      <c r="AL11" s="21" t="s">
        <v>170</v>
      </c>
    </row>
    <row r="12" spans="1:38" ht="26.1" customHeight="1" thickBot="1" x14ac:dyDescent="0.3">
      <c r="A12" s="1" t="s">
        <v>89</v>
      </c>
      <c r="B12" s="16">
        <v>1</v>
      </c>
      <c r="C12" s="199" t="str">
        <f>VLOOKUP(B12,Começo!A:D,3,0)</f>
        <v>Português</v>
      </c>
      <c r="D12" s="199"/>
      <c r="E12" s="199"/>
      <c r="F12" s="199"/>
      <c r="G12" s="194">
        <f>IFERROR(COUNTIF(Tabela13[#This Row],"sim"),"")*Começo!D14+SUM(Tabela13[#This Row])</f>
        <v>0</v>
      </c>
      <c r="H12" s="194"/>
      <c r="I12" s="194"/>
      <c r="J12" s="194"/>
      <c r="K12" s="158" t="s">
        <v>92</v>
      </c>
      <c r="L12" s="158" t="s">
        <v>92</v>
      </c>
      <c r="M12" s="158" t="s">
        <v>92</v>
      </c>
      <c r="N12" s="158" t="s">
        <v>92</v>
      </c>
      <c r="O12" s="158" t="s">
        <v>92</v>
      </c>
      <c r="P12" s="158" t="s">
        <v>92</v>
      </c>
      <c r="Q12" s="158" t="s">
        <v>92</v>
      </c>
      <c r="R12" s="158" t="s">
        <v>92</v>
      </c>
      <c r="S12" s="158" t="s">
        <v>92</v>
      </c>
      <c r="T12" s="158" t="s">
        <v>92</v>
      </c>
      <c r="U12" s="158" t="s">
        <v>92</v>
      </c>
      <c r="V12" s="158" t="s">
        <v>92</v>
      </c>
      <c r="W12" s="158" t="s">
        <v>92</v>
      </c>
      <c r="X12" s="158" t="s">
        <v>92</v>
      </c>
      <c r="Y12" s="158" t="s">
        <v>92</v>
      </c>
      <c r="Z12" s="158" t="s">
        <v>92</v>
      </c>
      <c r="AA12" s="158" t="s">
        <v>92</v>
      </c>
      <c r="AB12" s="158" t="s">
        <v>92</v>
      </c>
      <c r="AC12" s="158" t="s">
        <v>92</v>
      </c>
      <c r="AD12" s="158" t="s">
        <v>92</v>
      </c>
      <c r="AE12" s="158" t="s">
        <v>92</v>
      </c>
      <c r="AF12" s="158" t="s">
        <v>92</v>
      </c>
      <c r="AG12" s="158" t="s">
        <v>92</v>
      </c>
      <c r="AH12" s="158" t="s">
        <v>92</v>
      </c>
      <c r="AI12" s="158" t="s">
        <v>92</v>
      </c>
      <c r="AJ12" s="158" t="s">
        <v>92</v>
      </c>
      <c r="AK12" s="158" t="s">
        <v>92</v>
      </c>
      <c r="AL12" s="158" t="s">
        <v>92</v>
      </c>
    </row>
    <row r="13" spans="1:38" ht="26.1" customHeight="1" thickBot="1" x14ac:dyDescent="0.3">
      <c r="A13" s="1" t="s">
        <v>89</v>
      </c>
      <c r="B13" s="17">
        <v>2</v>
      </c>
      <c r="C13" s="199" t="str">
        <f>VLOOKUP(B13,Começo!A:D,3,0)</f>
        <v>Matemática</v>
      </c>
      <c r="D13" s="199"/>
      <c r="E13" s="199"/>
      <c r="F13" s="199"/>
      <c r="G13" s="194">
        <f>IFERROR(COUNTIF(Tabela13[#This Row],"sim"),"")*Começo!D15+SUM(Tabela13[#This Row])</f>
        <v>0</v>
      </c>
      <c r="H13" s="194"/>
      <c r="I13" s="194"/>
      <c r="J13" s="194"/>
      <c r="K13" s="158" t="s">
        <v>92</v>
      </c>
      <c r="L13" s="158" t="s">
        <v>92</v>
      </c>
      <c r="M13" s="158" t="s">
        <v>92</v>
      </c>
      <c r="N13" s="158" t="s">
        <v>92</v>
      </c>
      <c r="O13" s="158" t="s">
        <v>92</v>
      </c>
      <c r="P13" s="158" t="s">
        <v>92</v>
      </c>
      <c r="Q13" s="158" t="s">
        <v>92</v>
      </c>
      <c r="R13" s="158" t="s">
        <v>92</v>
      </c>
      <c r="S13" s="158" t="s">
        <v>92</v>
      </c>
      <c r="T13" s="158" t="s">
        <v>92</v>
      </c>
      <c r="U13" s="158" t="s">
        <v>92</v>
      </c>
      <c r="V13" s="158" t="s">
        <v>92</v>
      </c>
      <c r="W13" s="158" t="s">
        <v>92</v>
      </c>
      <c r="X13" s="158" t="s">
        <v>92</v>
      </c>
      <c r="Y13" s="158" t="s">
        <v>92</v>
      </c>
      <c r="Z13" s="158" t="s">
        <v>92</v>
      </c>
      <c r="AA13" s="158" t="s">
        <v>92</v>
      </c>
      <c r="AB13" s="158" t="s">
        <v>92</v>
      </c>
      <c r="AC13" s="158" t="s">
        <v>92</v>
      </c>
      <c r="AD13" s="158" t="s">
        <v>92</v>
      </c>
      <c r="AE13" s="158" t="s">
        <v>92</v>
      </c>
      <c r="AF13" s="158" t="s">
        <v>92</v>
      </c>
      <c r="AG13" s="158" t="s">
        <v>92</v>
      </c>
      <c r="AH13" s="158" t="s">
        <v>92</v>
      </c>
      <c r="AI13" s="158" t="s">
        <v>92</v>
      </c>
      <c r="AJ13" s="158" t="s">
        <v>92</v>
      </c>
      <c r="AK13" s="158" t="s">
        <v>92</v>
      </c>
      <c r="AL13" s="158" t="s">
        <v>92</v>
      </c>
    </row>
    <row r="14" spans="1:38" ht="26.1" customHeight="1" thickBot="1" x14ac:dyDescent="0.3">
      <c r="A14" s="1" t="s">
        <v>89</v>
      </c>
      <c r="B14" s="17">
        <v>3</v>
      </c>
      <c r="C14" s="199" t="str">
        <f>VLOOKUP(B14,Começo!A:D,3,0)</f>
        <v>História</v>
      </c>
      <c r="D14" s="199"/>
      <c r="E14" s="199"/>
      <c r="F14" s="199"/>
      <c r="G14" s="194">
        <f>IFERROR(COUNTIF(Tabela13[#This Row],"sim"),"")*Começo!D16+SUM(Tabela13[#This Row])</f>
        <v>0</v>
      </c>
      <c r="H14" s="194"/>
      <c r="I14" s="194"/>
      <c r="J14" s="194"/>
      <c r="K14" s="158" t="s">
        <v>92</v>
      </c>
      <c r="L14" s="158" t="s">
        <v>92</v>
      </c>
      <c r="M14" s="158" t="s">
        <v>92</v>
      </c>
      <c r="N14" s="158" t="s">
        <v>92</v>
      </c>
      <c r="O14" s="158" t="s">
        <v>92</v>
      </c>
      <c r="P14" s="158" t="s">
        <v>92</v>
      </c>
      <c r="Q14" s="158" t="s">
        <v>92</v>
      </c>
      <c r="R14" s="158" t="s">
        <v>92</v>
      </c>
      <c r="S14" s="158" t="s">
        <v>92</v>
      </c>
      <c r="T14" s="158" t="s">
        <v>92</v>
      </c>
      <c r="U14" s="158" t="s">
        <v>92</v>
      </c>
      <c r="V14" s="158" t="s">
        <v>92</v>
      </c>
      <c r="W14" s="158" t="s">
        <v>92</v>
      </c>
      <c r="X14" s="158" t="s">
        <v>92</v>
      </c>
      <c r="Y14" s="158" t="s">
        <v>92</v>
      </c>
      <c r="Z14" s="158" t="s">
        <v>92</v>
      </c>
      <c r="AA14" s="158" t="s">
        <v>92</v>
      </c>
      <c r="AB14" s="158" t="s">
        <v>92</v>
      </c>
      <c r="AC14" s="158" t="s">
        <v>92</v>
      </c>
      <c r="AD14" s="158" t="s">
        <v>92</v>
      </c>
      <c r="AE14" s="158" t="s">
        <v>92</v>
      </c>
      <c r="AF14" s="158" t="s">
        <v>92</v>
      </c>
      <c r="AG14" s="158" t="s">
        <v>92</v>
      </c>
      <c r="AH14" s="158" t="s">
        <v>92</v>
      </c>
      <c r="AI14" s="158" t="s">
        <v>92</v>
      </c>
      <c r="AJ14" s="158" t="s">
        <v>92</v>
      </c>
      <c r="AK14" s="158" t="s">
        <v>92</v>
      </c>
      <c r="AL14" s="158" t="s">
        <v>92</v>
      </c>
    </row>
    <row r="15" spans="1:38" ht="26.1" customHeight="1" thickBot="1" x14ac:dyDescent="0.3">
      <c r="A15" s="1" t="s">
        <v>89</v>
      </c>
      <c r="B15" s="17">
        <v>4</v>
      </c>
      <c r="C15" s="199" t="str">
        <f>VLOOKUP(B15,Começo!A:D,3,0)</f>
        <v>Física</v>
      </c>
      <c r="D15" s="199"/>
      <c r="E15" s="199"/>
      <c r="F15" s="199"/>
      <c r="G15" s="194">
        <f>IFERROR(COUNTIF(Tabela13[#This Row],"sim"),"")*Começo!D17+SUM(Tabela13[#This Row])</f>
        <v>0</v>
      </c>
      <c r="H15" s="194"/>
      <c r="I15" s="194"/>
      <c r="J15" s="194"/>
      <c r="K15" s="158" t="s">
        <v>92</v>
      </c>
      <c r="L15" s="158" t="s">
        <v>92</v>
      </c>
      <c r="M15" s="158" t="s">
        <v>92</v>
      </c>
      <c r="N15" s="158" t="s">
        <v>92</v>
      </c>
      <c r="O15" s="158" t="s">
        <v>92</v>
      </c>
      <c r="P15" s="158" t="s">
        <v>92</v>
      </c>
      <c r="Q15" s="158" t="s">
        <v>92</v>
      </c>
      <c r="R15" s="158" t="s">
        <v>92</v>
      </c>
      <c r="S15" s="158" t="s">
        <v>92</v>
      </c>
      <c r="T15" s="158" t="s">
        <v>92</v>
      </c>
      <c r="U15" s="158" t="s">
        <v>92</v>
      </c>
      <c r="V15" s="158" t="s">
        <v>92</v>
      </c>
      <c r="W15" s="158" t="s">
        <v>92</v>
      </c>
      <c r="X15" s="158" t="s">
        <v>92</v>
      </c>
      <c r="Y15" s="158" t="s">
        <v>92</v>
      </c>
      <c r="Z15" s="158" t="s">
        <v>92</v>
      </c>
      <c r="AA15" s="158" t="s">
        <v>92</v>
      </c>
      <c r="AB15" s="158" t="s">
        <v>92</v>
      </c>
      <c r="AC15" s="158" t="s">
        <v>92</v>
      </c>
      <c r="AD15" s="158" t="s">
        <v>92</v>
      </c>
      <c r="AE15" s="158" t="s">
        <v>92</v>
      </c>
      <c r="AF15" s="158" t="s">
        <v>92</v>
      </c>
      <c r="AG15" s="158" t="s">
        <v>92</v>
      </c>
      <c r="AH15" s="158" t="s">
        <v>92</v>
      </c>
      <c r="AI15" s="158" t="s">
        <v>92</v>
      </c>
      <c r="AJ15" s="158" t="s">
        <v>92</v>
      </c>
      <c r="AK15" s="158" t="s">
        <v>92</v>
      </c>
      <c r="AL15" s="158" t="s">
        <v>92</v>
      </c>
    </row>
    <row r="16" spans="1:38" ht="26.1" customHeight="1" thickBot="1" x14ac:dyDescent="0.3">
      <c r="A16" s="1" t="s">
        <v>89</v>
      </c>
      <c r="B16" s="17">
        <v>5</v>
      </c>
      <c r="C16" s="199" t="str">
        <f>VLOOKUP(B16,Começo!A:D,3,0)</f>
        <v>Quimíca</v>
      </c>
      <c r="D16" s="199"/>
      <c r="E16" s="199"/>
      <c r="F16" s="199"/>
      <c r="G16" s="194">
        <f>IFERROR(COUNTIF(Tabela13[#This Row],"sim"),"")*Começo!D18+SUM(Tabela13[#This Row])</f>
        <v>0</v>
      </c>
      <c r="H16" s="194"/>
      <c r="I16" s="194"/>
      <c r="J16" s="194"/>
      <c r="K16" s="158" t="s">
        <v>92</v>
      </c>
      <c r="L16" s="158" t="s">
        <v>92</v>
      </c>
      <c r="M16" s="158" t="s">
        <v>92</v>
      </c>
      <c r="N16" s="158" t="s">
        <v>92</v>
      </c>
      <c r="O16" s="158" t="s">
        <v>92</v>
      </c>
      <c r="P16" s="158" t="s">
        <v>92</v>
      </c>
      <c r="Q16" s="158" t="s">
        <v>92</v>
      </c>
      <c r="R16" s="158" t="s">
        <v>92</v>
      </c>
      <c r="S16" s="158" t="s">
        <v>92</v>
      </c>
      <c r="T16" s="158" t="s">
        <v>92</v>
      </c>
      <c r="U16" s="158" t="s">
        <v>92</v>
      </c>
      <c r="V16" s="158" t="s">
        <v>92</v>
      </c>
      <c r="W16" s="158" t="s">
        <v>92</v>
      </c>
      <c r="X16" s="158" t="s">
        <v>92</v>
      </c>
      <c r="Y16" s="158" t="s">
        <v>92</v>
      </c>
      <c r="Z16" s="158" t="s">
        <v>92</v>
      </c>
      <c r="AA16" s="158" t="s">
        <v>92</v>
      </c>
      <c r="AB16" s="158" t="s">
        <v>92</v>
      </c>
      <c r="AC16" s="158" t="s">
        <v>92</v>
      </c>
      <c r="AD16" s="158" t="s">
        <v>92</v>
      </c>
      <c r="AE16" s="158" t="s">
        <v>92</v>
      </c>
      <c r="AF16" s="158" t="s">
        <v>92</v>
      </c>
      <c r="AG16" s="158" t="s">
        <v>92</v>
      </c>
      <c r="AH16" s="158" t="s">
        <v>92</v>
      </c>
      <c r="AI16" s="158" t="s">
        <v>92</v>
      </c>
      <c r="AJ16" s="158" t="s">
        <v>92</v>
      </c>
      <c r="AK16" s="158" t="s">
        <v>92</v>
      </c>
      <c r="AL16" s="158" t="s">
        <v>92</v>
      </c>
    </row>
    <row r="17" spans="1:38" ht="26.1" customHeight="1" thickBot="1" x14ac:dyDescent="0.3">
      <c r="A17" s="1" t="s">
        <v>89</v>
      </c>
      <c r="B17" s="17">
        <v>6</v>
      </c>
      <c r="C17" s="199" t="str">
        <f>VLOOKUP(B17,Começo!A:D,3,0)</f>
        <v>Legislação</v>
      </c>
      <c r="D17" s="199"/>
      <c r="E17" s="199"/>
      <c r="F17" s="199"/>
      <c r="G17" s="194">
        <f>IFERROR(COUNTIF(Tabela13[#This Row],"sim"),"")*Começo!D19+SUM(Tabela13[#This Row])</f>
        <v>0</v>
      </c>
      <c r="H17" s="194"/>
      <c r="I17" s="194"/>
      <c r="J17" s="194"/>
      <c r="K17" s="158" t="s">
        <v>92</v>
      </c>
      <c r="L17" s="158" t="s">
        <v>92</v>
      </c>
      <c r="M17" s="158" t="s">
        <v>92</v>
      </c>
      <c r="N17" s="158" t="s">
        <v>92</v>
      </c>
      <c r="O17" s="158" t="s">
        <v>92</v>
      </c>
      <c r="P17" s="158" t="s">
        <v>92</v>
      </c>
      <c r="Q17" s="158" t="s">
        <v>92</v>
      </c>
      <c r="R17" s="158" t="s">
        <v>92</v>
      </c>
      <c r="S17" s="158" t="s">
        <v>92</v>
      </c>
      <c r="T17" s="158" t="s">
        <v>92</v>
      </c>
      <c r="U17" s="158" t="s">
        <v>92</v>
      </c>
      <c r="V17" s="158" t="s">
        <v>92</v>
      </c>
      <c r="W17" s="158" t="s">
        <v>92</v>
      </c>
      <c r="X17" s="158" t="s">
        <v>92</v>
      </c>
      <c r="Y17" s="158" t="s">
        <v>92</v>
      </c>
      <c r="Z17" s="158" t="s">
        <v>92</v>
      </c>
      <c r="AA17" s="158" t="s">
        <v>92</v>
      </c>
      <c r="AB17" s="158" t="s">
        <v>92</v>
      </c>
      <c r="AC17" s="158" t="s">
        <v>92</v>
      </c>
      <c r="AD17" s="158" t="s">
        <v>92</v>
      </c>
      <c r="AE17" s="158" t="s">
        <v>92</v>
      </c>
      <c r="AF17" s="158" t="s">
        <v>92</v>
      </c>
      <c r="AG17" s="158" t="s">
        <v>92</v>
      </c>
      <c r="AH17" s="158" t="s">
        <v>92</v>
      </c>
      <c r="AI17" s="158" t="s">
        <v>92</v>
      </c>
      <c r="AJ17" s="158" t="s">
        <v>92</v>
      </c>
      <c r="AK17" s="158" t="s">
        <v>92</v>
      </c>
      <c r="AL17" s="158" t="s">
        <v>92</v>
      </c>
    </row>
    <row r="18" spans="1:38" ht="26.1" customHeight="1" thickBot="1" x14ac:dyDescent="0.3">
      <c r="A18" s="1" t="s">
        <v>89</v>
      </c>
      <c r="B18" s="17">
        <v>7</v>
      </c>
      <c r="C18" s="199" t="str">
        <f>VLOOKUP(B18,Começo!A:D,3,0)</f>
        <v>Processo Penal</v>
      </c>
      <c r="D18" s="199"/>
      <c r="E18" s="199"/>
      <c r="F18" s="199"/>
      <c r="G18" s="194">
        <f>IFERROR(COUNTIF(Tabela13[#This Row],"sim"),"")*Começo!D20+SUM(Tabela13[#This Row])</f>
        <v>0</v>
      </c>
      <c r="H18" s="194"/>
      <c r="I18" s="194"/>
      <c r="J18" s="194"/>
      <c r="K18" s="158" t="s">
        <v>92</v>
      </c>
      <c r="L18" s="158" t="s">
        <v>92</v>
      </c>
      <c r="M18" s="158" t="s">
        <v>92</v>
      </c>
      <c r="N18" s="158" t="s">
        <v>92</v>
      </c>
      <c r="O18" s="158" t="s">
        <v>92</v>
      </c>
      <c r="P18" s="158" t="s">
        <v>92</v>
      </c>
      <c r="Q18" s="158" t="s">
        <v>92</v>
      </c>
      <c r="R18" s="158" t="s">
        <v>92</v>
      </c>
      <c r="S18" s="158" t="s">
        <v>92</v>
      </c>
      <c r="T18" s="158" t="s">
        <v>92</v>
      </c>
      <c r="U18" s="158" t="s">
        <v>92</v>
      </c>
      <c r="V18" s="158" t="s">
        <v>92</v>
      </c>
      <c r="W18" s="158" t="s">
        <v>92</v>
      </c>
      <c r="X18" s="158" t="s">
        <v>92</v>
      </c>
      <c r="Y18" s="158" t="s">
        <v>92</v>
      </c>
      <c r="Z18" s="158" t="s">
        <v>92</v>
      </c>
      <c r="AA18" s="158" t="s">
        <v>92</v>
      </c>
      <c r="AB18" s="158" t="s">
        <v>92</v>
      </c>
      <c r="AC18" s="158" t="s">
        <v>92</v>
      </c>
      <c r="AD18" s="158" t="s">
        <v>92</v>
      </c>
      <c r="AE18" s="158" t="s">
        <v>92</v>
      </c>
      <c r="AF18" s="158" t="s">
        <v>92</v>
      </c>
      <c r="AG18" s="158" t="s">
        <v>92</v>
      </c>
      <c r="AH18" s="158" t="s">
        <v>92</v>
      </c>
      <c r="AI18" s="158" t="s">
        <v>92</v>
      </c>
      <c r="AJ18" s="158" t="s">
        <v>92</v>
      </c>
      <c r="AK18" s="158" t="s">
        <v>92</v>
      </c>
      <c r="AL18" s="158" t="s">
        <v>92</v>
      </c>
    </row>
    <row r="19" spans="1:38" ht="26.1" customHeight="1" thickBot="1" x14ac:dyDescent="0.3">
      <c r="A19" s="1" t="s">
        <v>89</v>
      </c>
      <c r="B19" s="17">
        <v>8</v>
      </c>
      <c r="C19" s="199" t="str">
        <f>VLOOKUP(B19,Começo!A:D,3,0)</f>
        <v>Direito Administrativo</v>
      </c>
      <c r="D19" s="199"/>
      <c r="E19" s="199"/>
      <c r="F19" s="199"/>
      <c r="G19" s="194">
        <f>IFERROR(COUNTIF(Tabela13[#This Row],"sim"),"")*Começo!D21+SUM(Tabela13[#This Row])</f>
        <v>0</v>
      </c>
      <c r="H19" s="194"/>
      <c r="I19" s="194"/>
      <c r="J19" s="194"/>
      <c r="K19" s="158" t="s">
        <v>92</v>
      </c>
      <c r="L19" s="158" t="s">
        <v>92</v>
      </c>
      <c r="M19" s="158" t="s">
        <v>92</v>
      </c>
      <c r="N19" s="158" t="s">
        <v>92</v>
      </c>
      <c r="O19" s="158" t="s">
        <v>92</v>
      </c>
      <c r="P19" s="158" t="s">
        <v>92</v>
      </c>
      <c r="Q19" s="158" t="s">
        <v>92</v>
      </c>
      <c r="R19" s="158" t="s">
        <v>92</v>
      </c>
      <c r="S19" s="158" t="s">
        <v>92</v>
      </c>
      <c r="T19" s="158" t="s">
        <v>92</v>
      </c>
      <c r="U19" s="158" t="s">
        <v>92</v>
      </c>
      <c r="V19" s="158" t="s">
        <v>92</v>
      </c>
      <c r="W19" s="158" t="s">
        <v>92</v>
      </c>
      <c r="X19" s="158" t="s">
        <v>92</v>
      </c>
      <c r="Y19" s="158" t="s">
        <v>92</v>
      </c>
      <c r="Z19" s="158" t="s">
        <v>92</v>
      </c>
      <c r="AA19" s="158" t="s">
        <v>92</v>
      </c>
      <c r="AB19" s="158" t="s">
        <v>92</v>
      </c>
      <c r="AC19" s="158" t="s">
        <v>92</v>
      </c>
      <c r="AD19" s="158" t="s">
        <v>92</v>
      </c>
      <c r="AE19" s="158" t="s">
        <v>92</v>
      </c>
      <c r="AF19" s="158" t="s">
        <v>92</v>
      </c>
      <c r="AG19" s="158" t="s">
        <v>92</v>
      </c>
      <c r="AH19" s="158" t="s">
        <v>92</v>
      </c>
      <c r="AI19" s="158" t="s">
        <v>92</v>
      </c>
      <c r="AJ19" s="158" t="s">
        <v>92</v>
      </c>
      <c r="AK19" s="158" t="s">
        <v>92</v>
      </c>
      <c r="AL19" s="158" t="s">
        <v>92</v>
      </c>
    </row>
    <row r="20" spans="1:38" ht="26.1" customHeight="1" thickBot="1" x14ac:dyDescent="0.3">
      <c r="A20" s="1" t="s">
        <v>89</v>
      </c>
      <c r="B20" s="17">
        <v>9</v>
      </c>
      <c r="C20" s="199" t="str">
        <f>VLOOKUP(B20,Começo!A:D,3,0)</f>
        <v>Direito Tributário</v>
      </c>
      <c r="D20" s="199"/>
      <c r="E20" s="199"/>
      <c r="F20" s="199"/>
      <c r="G20" s="194">
        <f>IFERROR(COUNTIF(Tabela13[#This Row],"sim"),"")*Começo!D22+SUM(Tabela13[#This Row])</f>
        <v>0</v>
      </c>
      <c r="H20" s="194"/>
      <c r="I20" s="194"/>
      <c r="J20" s="194"/>
      <c r="K20" s="158" t="s">
        <v>92</v>
      </c>
      <c r="L20" s="158" t="s">
        <v>92</v>
      </c>
      <c r="M20" s="158" t="s">
        <v>92</v>
      </c>
      <c r="N20" s="158" t="s">
        <v>92</v>
      </c>
      <c r="O20" s="158" t="s">
        <v>92</v>
      </c>
      <c r="P20" s="158" t="s">
        <v>92</v>
      </c>
      <c r="Q20" s="158" t="s">
        <v>92</v>
      </c>
      <c r="R20" s="158" t="s">
        <v>92</v>
      </c>
      <c r="S20" s="158" t="s">
        <v>92</v>
      </c>
      <c r="T20" s="158" t="s">
        <v>92</v>
      </c>
      <c r="U20" s="158" t="s">
        <v>92</v>
      </c>
      <c r="V20" s="158" t="s">
        <v>92</v>
      </c>
      <c r="W20" s="158" t="s">
        <v>92</v>
      </c>
      <c r="X20" s="158" t="s">
        <v>92</v>
      </c>
      <c r="Y20" s="158" t="s">
        <v>92</v>
      </c>
      <c r="Z20" s="158" t="s">
        <v>92</v>
      </c>
      <c r="AA20" s="158" t="s">
        <v>92</v>
      </c>
      <c r="AB20" s="158" t="s">
        <v>92</v>
      </c>
      <c r="AC20" s="158" t="s">
        <v>92</v>
      </c>
      <c r="AD20" s="158" t="s">
        <v>92</v>
      </c>
      <c r="AE20" s="158" t="s">
        <v>92</v>
      </c>
      <c r="AF20" s="158" t="s">
        <v>92</v>
      </c>
      <c r="AG20" s="158" t="s">
        <v>92</v>
      </c>
      <c r="AH20" s="158" t="s">
        <v>92</v>
      </c>
      <c r="AI20" s="158" t="s">
        <v>92</v>
      </c>
      <c r="AJ20" s="158" t="s">
        <v>92</v>
      </c>
      <c r="AK20" s="158" t="s">
        <v>92</v>
      </c>
      <c r="AL20" s="158" t="s">
        <v>92</v>
      </c>
    </row>
    <row r="21" spans="1:38" ht="26.1" customHeight="1" thickBot="1" x14ac:dyDescent="0.3">
      <c r="A21" s="1" t="s">
        <v>89</v>
      </c>
      <c r="B21" s="17">
        <v>10</v>
      </c>
      <c r="C21" s="199" t="str">
        <f>VLOOKUP(B21,Começo!A:D,3,0)</f>
        <v>Inglês</v>
      </c>
      <c r="D21" s="199"/>
      <c r="E21" s="199"/>
      <c r="F21" s="199"/>
      <c r="G21" s="194">
        <f>IFERROR(COUNTIF(Tabela13[#This Row],"sim"),"")*Começo!D23+SUM(Tabela13[#This Row])</f>
        <v>0</v>
      </c>
      <c r="H21" s="194"/>
      <c r="I21" s="194"/>
      <c r="J21" s="194"/>
      <c r="K21" s="158" t="s">
        <v>92</v>
      </c>
      <c r="L21" s="158" t="s">
        <v>92</v>
      </c>
      <c r="M21" s="158" t="s">
        <v>92</v>
      </c>
      <c r="N21" s="158" t="s">
        <v>92</v>
      </c>
      <c r="O21" s="158" t="s">
        <v>92</v>
      </c>
      <c r="P21" s="158" t="s">
        <v>92</v>
      </c>
      <c r="Q21" s="158" t="s">
        <v>92</v>
      </c>
      <c r="R21" s="158" t="s">
        <v>92</v>
      </c>
      <c r="S21" s="158" t="s">
        <v>92</v>
      </c>
      <c r="T21" s="158" t="s">
        <v>92</v>
      </c>
      <c r="U21" s="158" t="s">
        <v>92</v>
      </c>
      <c r="V21" s="158" t="s">
        <v>92</v>
      </c>
      <c r="W21" s="158" t="s">
        <v>92</v>
      </c>
      <c r="X21" s="158" t="s">
        <v>92</v>
      </c>
      <c r="Y21" s="158" t="s">
        <v>92</v>
      </c>
      <c r="Z21" s="158" t="s">
        <v>92</v>
      </c>
      <c r="AA21" s="158" t="s">
        <v>92</v>
      </c>
      <c r="AB21" s="158" t="s">
        <v>92</v>
      </c>
      <c r="AC21" s="158" t="s">
        <v>92</v>
      </c>
      <c r="AD21" s="158" t="s">
        <v>92</v>
      </c>
      <c r="AE21" s="158" t="s">
        <v>92</v>
      </c>
      <c r="AF21" s="158" t="s">
        <v>92</v>
      </c>
      <c r="AG21" s="158" t="s">
        <v>92</v>
      </c>
      <c r="AH21" s="158" t="s">
        <v>92</v>
      </c>
      <c r="AI21" s="158" t="s">
        <v>92</v>
      </c>
      <c r="AJ21" s="158" t="s">
        <v>92</v>
      </c>
      <c r="AK21" s="158" t="s">
        <v>92</v>
      </c>
      <c r="AL21" s="158" t="s">
        <v>92</v>
      </c>
    </row>
    <row r="22" spans="1:38" ht="26.1" customHeight="1" thickBot="1" x14ac:dyDescent="0.3">
      <c r="A22" s="1" t="s">
        <v>89</v>
      </c>
      <c r="B22" s="17">
        <v>11</v>
      </c>
      <c r="C22" s="199" t="str">
        <f>VLOOKUP(B22,Começo!A:D,3,0)</f>
        <v>Análise de Sistemas</v>
      </c>
      <c r="D22" s="199"/>
      <c r="E22" s="199"/>
      <c r="F22" s="199"/>
      <c r="G22" s="194">
        <f>IFERROR(COUNTIF(Tabela13[#This Row],"sim"),"")*Começo!D24+SUM(Tabela13[#This Row])</f>
        <v>0</v>
      </c>
      <c r="H22" s="194"/>
      <c r="I22" s="194"/>
      <c r="J22" s="194"/>
      <c r="K22" s="158" t="s">
        <v>92</v>
      </c>
      <c r="L22" s="158" t="s">
        <v>92</v>
      </c>
      <c r="M22" s="158" t="s">
        <v>92</v>
      </c>
      <c r="N22" s="158" t="s">
        <v>92</v>
      </c>
      <c r="O22" s="158" t="s">
        <v>92</v>
      </c>
      <c r="P22" s="158" t="s">
        <v>92</v>
      </c>
      <c r="Q22" s="158" t="s">
        <v>92</v>
      </c>
      <c r="R22" s="158" t="s">
        <v>92</v>
      </c>
      <c r="S22" s="158" t="s">
        <v>92</v>
      </c>
      <c r="T22" s="158" t="s">
        <v>92</v>
      </c>
      <c r="U22" s="158" t="s">
        <v>92</v>
      </c>
      <c r="V22" s="158" t="s">
        <v>92</v>
      </c>
      <c r="W22" s="158" t="s">
        <v>92</v>
      </c>
      <c r="X22" s="158" t="s">
        <v>92</v>
      </c>
      <c r="Y22" s="158" t="s">
        <v>92</v>
      </c>
      <c r="Z22" s="158" t="s">
        <v>92</v>
      </c>
      <c r="AA22" s="158" t="s">
        <v>92</v>
      </c>
      <c r="AB22" s="158" t="s">
        <v>92</v>
      </c>
      <c r="AC22" s="158" t="s">
        <v>92</v>
      </c>
      <c r="AD22" s="158" t="s">
        <v>92</v>
      </c>
      <c r="AE22" s="158" t="s">
        <v>92</v>
      </c>
      <c r="AF22" s="158" t="s">
        <v>92</v>
      </c>
      <c r="AG22" s="158" t="s">
        <v>92</v>
      </c>
      <c r="AH22" s="158" t="s">
        <v>92</v>
      </c>
      <c r="AI22" s="158" t="s">
        <v>92</v>
      </c>
      <c r="AJ22" s="158" t="s">
        <v>92</v>
      </c>
      <c r="AK22" s="158" t="s">
        <v>92</v>
      </c>
      <c r="AL22" s="158" t="s">
        <v>92</v>
      </c>
    </row>
    <row r="23" spans="1:38" ht="26.1" customHeight="1" thickBot="1" x14ac:dyDescent="0.3">
      <c r="A23" s="1" t="s">
        <v>89</v>
      </c>
      <c r="B23" s="17">
        <v>12</v>
      </c>
      <c r="C23" s="199" t="str">
        <f>VLOOKUP(B23,Começo!A:D,3,0)</f>
        <v>Direito Legislativo</v>
      </c>
      <c r="D23" s="199"/>
      <c r="E23" s="199"/>
      <c r="F23" s="199"/>
      <c r="G23" s="194">
        <f>IFERROR(COUNTIF(Tabela13[#This Row],"sim"),"")*Começo!D25+SUM(Tabela13[#This Row])</f>
        <v>0</v>
      </c>
      <c r="H23" s="194"/>
      <c r="I23" s="194"/>
      <c r="J23" s="194"/>
      <c r="K23" s="158" t="s">
        <v>92</v>
      </c>
      <c r="L23" s="158" t="s">
        <v>92</v>
      </c>
      <c r="M23" s="158" t="s">
        <v>92</v>
      </c>
      <c r="N23" s="158" t="s">
        <v>92</v>
      </c>
      <c r="O23" s="158" t="s">
        <v>92</v>
      </c>
      <c r="P23" s="158" t="s">
        <v>92</v>
      </c>
      <c r="Q23" s="158" t="s">
        <v>92</v>
      </c>
      <c r="R23" s="158" t="s">
        <v>92</v>
      </c>
      <c r="S23" s="158" t="s">
        <v>92</v>
      </c>
      <c r="T23" s="158" t="s">
        <v>92</v>
      </c>
      <c r="U23" s="158" t="s">
        <v>92</v>
      </c>
      <c r="V23" s="158" t="s">
        <v>92</v>
      </c>
      <c r="W23" s="158" t="s">
        <v>92</v>
      </c>
      <c r="X23" s="158" t="s">
        <v>92</v>
      </c>
      <c r="Y23" s="158" t="s">
        <v>92</v>
      </c>
      <c r="Z23" s="158" t="s">
        <v>92</v>
      </c>
      <c r="AA23" s="158" t="s">
        <v>92</v>
      </c>
      <c r="AB23" s="158" t="s">
        <v>92</v>
      </c>
      <c r="AC23" s="158" t="s">
        <v>92</v>
      </c>
      <c r="AD23" s="158" t="s">
        <v>92</v>
      </c>
      <c r="AE23" s="158" t="s">
        <v>92</v>
      </c>
      <c r="AF23" s="158" t="s">
        <v>92</v>
      </c>
      <c r="AG23" s="158" t="s">
        <v>92</v>
      </c>
      <c r="AH23" s="158" t="s">
        <v>92</v>
      </c>
      <c r="AI23" s="158" t="s">
        <v>92</v>
      </c>
      <c r="AJ23" s="158" t="s">
        <v>92</v>
      </c>
      <c r="AK23" s="158" t="s">
        <v>92</v>
      </c>
      <c r="AL23" s="158" t="s">
        <v>92</v>
      </c>
    </row>
    <row r="24" spans="1:38" ht="26.1" customHeight="1" thickBot="1" x14ac:dyDescent="0.3">
      <c r="A24" s="1" t="s">
        <v>89</v>
      </c>
      <c r="B24" s="17">
        <v>13</v>
      </c>
      <c r="C24" s="199" t="str">
        <f>VLOOKUP(B24,Começo!A:D,3,0)</f>
        <v>Mecânica dos Fluídos</v>
      </c>
      <c r="D24" s="199"/>
      <c r="E24" s="199"/>
      <c r="F24" s="199"/>
      <c r="G24" s="194">
        <f>IFERROR(COUNTIF(Tabela13[#This Row],"sim"),"")*Começo!D26+SUM(Tabela13[#This Row])</f>
        <v>0</v>
      </c>
      <c r="H24" s="194"/>
      <c r="I24" s="194"/>
      <c r="J24" s="194"/>
      <c r="K24" s="158" t="s">
        <v>92</v>
      </c>
      <c r="L24" s="158" t="s">
        <v>92</v>
      </c>
      <c r="M24" s="158" t="s">
        <v>92</v>
      </c>
      <c r="N24" s="158" t="s">
        <v>92</v>
      </c>
      <c r="O24" s="158" t="s">
        <v>92</v>
      </c>
      <c r="P24" s="158" t="s">
        <v>92</v>
      </c>
      <c r="Q24" s="158" t="s">
        <v>92</v>
      </c>
      <c r="R24" s="158" t="s">
        <v>92</v>
      </c>
      <c r="S24" s="158" t="s">
        <v>92</v>
      </c>
      <c r="T24" s="158" t="s">
        <v>92</v>
      </c>
      <c r="U24" s="158" t="s">
        <v>92</v>
      </c>
      <c r="V24" s="158" t="s">
        <v>92</v>
      </c>
      <c r="W24" s="158" t="s">
        <v>92</v>
      </c>
      <c r="X24" s="158" t="s">
        <v>92</v>
      </c>
      <c r="Y24" s="158" t="s">
        <v>92</v>
      </c>
      <c r="Z24" s="158" t="s">
        <v>92</v>
      </c>
      <c r="AA24" s="158" t="s">
        <v>92</v>
      </c>
      <c r="AB24" s="158" t="s">
        <v>92</v>
      </c>
      <c r="AC24" s="158" t="s">
        <v>92</v>
      </c>
      <c r="AD24" s="158" t="s">
        <v>92</v>
      </c>
      <c r="AE24" s="158" t="s">
        <v>92</v>
      </c>
      <c r="AF24" s="158" t="s">
        <v>92</v>
      </c>
      <c r="AG24" s="158" t="s">
        <v>92</v>
      </c>
      <c r="AH24" s="158" t="s">
        <v>92</v>
      </c>
      <c r="AI24" s="158" t="s">
        <v>92</v>
      </c>
      <c r="AJ24" s="158" t="s">
        <v>92</v>
      </c>
      <c r="AK24" s="158" t="s">
        <v>92</v>
      </c>
      <c r="AL24" s="158" t="s">
        <v>92</v>
      </c>
    </row>
    <row r="25" spans="1:38" ht="26.1" customHeight="1" thickBot="1" x14ac:dyDescent="0.3">
      <c r="A25" s="1" t="s">
        <v>89</v>
      </c>
      <c r="B25" s="17">
        <v>14</v>
      </c>
      <c r="C25" s="199" t="str">
        <f>VLOOKUP(B25,Começo!A:D,3,0)</f>
        <v>IoT</v>
      </c>
      <c r="D25" s="199"/>
      <c r="E25" s="199"/>
      <c r="F25" s="199"/>
      <c r="G25" s="194">
        <f>IFERROR(COUNTIF(Tabela13[#This Row],"sim"),"")*Começo!D27+SUM(Tabela13[#This Row])</f>
        <v>0</v>
      </c>
      <c r="H25" s="194"/>
      <c r="I25" s="194"/>
      <c r="J25" s="194"/>
      <c r="K25" s="158" t="s">
        <v>92</v>
      </c>
      <c r="L25" s="158" t="s">
        <v>92</v>
      </c>
      <c r="M25" s="158" t="s">
        <v>92</v>
      </c>
      <c r="N25" s="158" t="s">
        <v>92</v>
      </c>
      <c r="O25" s="158" t="s">
        <v>92</v>
      </c>
      <c r="P25" s="158" t="s">
        <v>92</v>
      </c>
      <c r="Q25" s="158" t="s">
        <v>92</v>
      </c>
      <c r="R25" s="158" t="s">
        <v>92</v>
      </c>
      <c r="S25" s="158" t="s">
        <v>92</v>
      </c>
      <c r="T25" s="158" t="s">
        <v>92</v>
      </c>
      <c r="U25" s="158" t="s">
        <v>92</v>
      </c>
      <c r="V25" s="158" t="s">
        <v>92</v>
      </c>
      <c r="W25" s="158" t="s">
        <v>92</v>
      </c>
      <c r="X25" s="158" t="s">
        <v>92</v>
      </c>
      <c r="Y25" s="158" t="s">
        <v>92</v>
      </c>
      <c r="Z25" s="158" t="s">
        <v>92</v>
      </c>
      <c r="AA25" s="158" t="s">
        <v>92</v>
      </c>
      <c r="AB25" s="158" t="s">
        <v>92</v>
      </c>
      <c r="AC25" s="158" t="s">
        <v>92</v>
      </c>
      <c r="AD25" s="158" t="s">
        <v>92</v>
      </c>
      <c r="AE25" s="158" t="s">
        <v>92</v>
      </c>
      <c r="AF25" s="158" t="s">
        <v>92</v>
      </c>
      <c r="AG25" s="158" t="s">
        <v>92</v>
      </c>
      <c r="AH25" s="158" t="s">
        <v>92</v>
      </c>
      <c r="AI25" s="158" t="s">
        <v>92</v>
      </c>
      <c r="AJ25" s="158" t="s">
        <v>92</v>
      </c>
      <c r="AK25" s="158" t="s">
        <v>92</v>
      </c>
      <c r="AL25" s="158" t="s">
        <v>92</v>
      </c>
    </row>
    <row r="26" spans="1:38" ht="26.1" customHeight="1" thickBot="1" x14ac:dyDescent="0.3">
      <c r="A26" s="1" t="s">
        <v>89</v>
      </c>
      <c r="B26" s="17">
        <v>15</v>
      </c>
      <c r="C26" s="199" t="str">
        <f>VLOOKUP(B26,Começo!A:D,3,0)</f>
        <v>Astrologia</v>
      </c>
      <c r="D26" s="199"/>
      <c r="E26" s="199"/>
      <c r="F26" s="199"/>
      <c r="G26" s="194">
        <f>IFERROR(COUNTIF(Tabela13[#This Row],"sim"),"")*Começo!D28+SUM(Tabela13[#This Row])</f>
        <v>0</v>
      </c>
      <c r="H26" s="194"/>
      <c r="I26" s="194"/>
      <c r="J26" s="194"/>
      <c r="K26" s="158" t="s">
        <v>92</v>
      </c>
      <c r="L26" s="158" t="s">
        <v>92</v>
      </c>
      <c r="M26" s="158" t="s">
        <v>92</v>
      </c>
      <c r="N26" s="158" t="s">
        <v>92</v>
      </c>
      <c r="O26" s="158" t="s">
        <v>92</v>
      </c>
      <c r="P26" s="158" t="s">
        <v>92</v>
      </c>
      <c r="Q26" s="158" t="s">
        <v>92</v>
      </c>
      <c r="R26" s="158" t="s">
        <v>92</v>
      </c>
      <c r="S26" s="158" t="s">
        <v>92</v>
      </c>
      <c r="T26" s="158" t="s">
        <v>92</v>
      </c>
      <c r="U26" s="158" t="s">
        <v>92</v>
      </c>
      <c r="V26" s="158" t="s">
        <v>92</v>
      </c>
      <c r="W26" s="158" t="s">
        <v>92</v>
      </c>
      <c r="X26" s="158" t="s">
        <v>92</v>
      </c>
      <c r="Y26" s="158" t="s">
        <v>92</v>
      </c>
      <c r="Z26" s="158" t="s">
        <v>92</v>
      </c>
      <c r="AA26" s="158" t="s">
        <v>92</v>
      </c>
      <c r="AB26" s="158" t="s">
        <v>92</v>
      </c>
      <c r="AC26" s="158" t="s">
        <v>92</v>
      </c>
      <c r="AD26" s="158" t="s">
        <v>92</v>
      </c>
      <c r="AE26" s="158" t="s">
        <v>92</v>
      </c>
      <c r="AF26" s="158" t="s">
        <v>92</v>
      </c>
      <c r="AG26" s="158" t="s">
        <v>92</v>
      </c>
      <c r="AH26" s="158" t="s">
        <v>92</v>
      </c>
      <c r="AI26" s="158" t="s">
        <v>92</v>
      </c>
      <c r="AJ26" s="158" t="s">
        <v>92</v>
      </c>
      <c r="AK26" s="158" t="s">
        <v>92</v>
      </c>
      <c r="AL26" s="158" t="s">
        <v>92</v>
      </c>
    </row>
    <row r="27" spans="1:38" ht="26.1" customHeight="1" thickBot="1" x14ac:dyDescent="0.3">
      <c r="A27" s="1" t="s">
        <v>89</v>
      </c>
      <c r="B27" s="17">
        <v>16</v>
      </c>
      <c r="C27" s="199" t="str">
        <f>VLOOKUP(B27,Começo!A:D,3,0)</f>
        <v>Colorimetria</v>
      </c>
      <c r="D27" s="199"/>
      <c r="E27" s="199"/>
      <c r="F27" s="199"/>
      <c r="G27" s="194">
        <f>IFERROR(COUNTIF(Tabela13[#This Row],"sim"),"")*Começo!D29+SUM(Tabela13[#This Row])</f>
        <v>0</v>
      </c>
      <c r="H27" s="194"/>
      <c r="I27" s="194"/>
      <c r="J27" s="194"/>
      <c r="K27" s="158" t="s">
        <v>92</v>
      </c>
      <c r="L27" s="158" t="s">
        <v>92</v>
      </c>
      <c r="M27" s="158" t="s">
        <v>92</v>
      </c>
      <c r="N27" s="158" t="s">
        <v>92</v>
      </c>
      <c r="O27" s="158" t="s">
        <v>92</v>
      </c>
      <c r="P27" s="158" t="s">
        <v>92</v>
      </c>
      <c r="Q27" s="158" t="s">
        <v>92</v>
      </c>
      <c r="R27" s="158" t="s">
        <v>92</v>
      </c>
      <c r="S27" s="158" t="s">
        <v>92</v>
      </c>
      <c r="T27" s="158" t="s">
        <v>92</v>
      </c>
      <c r="U27" s="158" t="s">
        <v>92</v>
      </c>
      <c r="V27" s="158" t="s">
        <v>92</v>
      </c>
      <c r="W27" s="158" t="s">
        <v>92</v>
      </c>
      <c r="X27" s="158" t="s">
        <v>92</v>
      </c>
      <c r="Y27" s="158" t="s">
        <v>92</v>
      </c>
      <c r="Z27" s="158" t="s">
        <v>92</v>
      </c>
      <c r="AA27" s="158" t="s">
        <v>92</v>
      </c>
      <c r="AB27" s="158" t="s">
        <v>92</v>
      </c>
      <c r="AC27" s="158" t="s">
        <v>92</v>
      </c>
      <c r="AD27" s="158" t="s">
        <v>92</v>
      </c>
      <c r="AE27" s="158" t="s">
        <v>92</v>
      </c>
      <c r="AF27" s="158" t="s">
        <v>92</v>
      </c>
      <c r="AG27" s="158" t="s">
        <v>92</v>
      </c>
      <c r="AH27" s="158" t="s">
        <v>92</v>
      </c>
      <c r="AI27" s="158" t="s">
        <v>92</v>
      </c>
      <c r="AJ27" s="158" t="s">
        <v>92</v>
      </c>
      <c r="AK27" s="158" t="s">
        <v>92</v>
      </c>
      <c r="AL27" s="158" t="s">
        <v>92</v>
      </c>
    </row>
    <row r="28" spans="1:38" ht="16.5" x14ac:dyDescent="0.25">
      <c r="K28" s="159">
        <f>SUBTOTAL(109,Tabela13[1-fev])</f>
        <v>0</v>
      </c>
      <c r="L28" s="159">
        <f>SUBTOTAL(109,Tabela13[2-fev])</f>
        <v>0</v>
      </c>
      <c r="M28" s="159">
        <f>SUBTOTAL(109,Tabela13[3-fev])</f>
        <v>0</v>
      </c>
      <c r="N28" s="159">
        <f>SUBTOTAL(109,Tabela13[4-fev])</f>
        <v>0</v>
      </c>
      <c r="O28" s="159">
        <f>SUBTOTAL(109,Tabela13[5-fev])</f>
        <v>0</v>
      </c>
      <c r="P28" s="159">
        <f>SUBTOTAL(109,Tabela13[6-fev])</f>
        <v>0</v>
      </c>
      <c r="Q28" s="159">
        <f>SUBTOTAL(109,Tabela13[7-fev])</f>
        <v>0</v>
      </c>
      <c r="R28" s="159">
        <f>SUBTOTAL(109,Tabela13[8-jan])</f>
        <v>0</v>
      </c>
      <c r="S28" s="159">
        <f>SUBTOTAL(109,Tabela13[9-fev])</f>
        <v>0</v>
      </c>
      <c r="T28" s="159">
        <f>SUBTOTAL(109,Tabela13[10-fev])</f>
        <v>0</v>
      </c>
      <c r="U28" s="159">
        <f>SUBTOTAL(109,Tabela13[11-fev])</f>
        <v>0</v>
      </c>
      <c r="V28" s="159">
        <f>SUBTOTAL(109,Tabela13[12-fev])</f>
        <v>0</v>
      </c>
      <c r="W28" s="159">
        <f>SUBTOTAL(109,Tabela13[13-fev])</f>
        <v>0</v>
      </c>
      <c r="X28" s="159">
        <f>SUBTOTAL(109,Tabela13[14-fev])</f>
        <v>0</v>
      </c>
      <c r="Y28" s="159">
        <f>SUBTOTAL(109,Tabela13[15-fev])</f>
        <v>0</v>
      </c>
      <c r="Z28" s="159">
        <f>SUBTOTAL(109,Tabela13[16-fev])</f>
        <v>0</v>
      </c>
      <c r="AA28" s="159">
        <f>SUBTOTAL(109,Tabela13[17-fev])</f>
        <v>0</v>
      </c>
      <c r="AB28" s="159">
        <f>SUBTOTAL(109,Tabela13[18-fev])</f>
        <v>0</v>
      </c>
      <c r="AC28" s="159">
        <f>SUBTOTAL(109,Tabela13[19-fev])</f>
        <v>0</v>
      </c>
      <c r="AD28" s="159">
        <f>SUBTOTAL(109,Tabela13[20-fev])</f>
        <v>0</v>
      </c>
      <c r="AE28" s="159">
        <f>SUBTOTAL(109,Tabela13[21-fev])</f>
        <v>0</v>
      </c>
      <c r="AF28" s="159">
        <f>SUBTOTAL(109,Tabela13[22-jan])</f>
        <v>0</v>
      </c>
      <c r="AG28" s="159">
        <f>SUBTOTAL(109,Tabela13[23-fev])</f>
        <v>0</v>
      </c>
      <c r="AH28" s="159">
        <f>SUBTOTAL(109,Tabela13[24-fev])</f>
        <v>0</v>
      </c>
      <c r="AI28" s="159">
        <f>SUBTOTAL(109,Tabela13[25-fev])</f>
        <v>0</v>
      </c>
      <c r="AJ28" s="159">
        <f>SUBTOTAL(109,Tabela13[26-fev])</f>
        <v>0</v>
      </c>
      <c r="AK28" s="159">
        <f>SUBTOTAL(109,Tabela13[27-fev])</f>
        <v>0</v>
      </c>
      <c r="AL28" s="159">
        <f>SUBTOTAL(109,Tabela13[28-fev])</f>
        <v>0</v>
      </c>
    </row>
    <row r="31" spans="1:38" x14ac:dyDescent="0.25">
      <c r="B31" s="188"/>
      <c r="C31" s="188"/>
    </row>
    <row r="32" spans="1:38" x14ac:dyDescent="0.25">
      <c r="B32" s="188"/>
      <c r="C32" s="188"/>
    </row>
  </sheetData>
  <sheetProtection algorithmName="SHA-512" hashValue="6MClDBDOWAzu3ty/TI8FHNokP2TeMqoNGfGjFhD6RLsX/WPMBuW/sAF/VylxX7r24u/7DS5WxM3Qzc0VG7Ux5A==" saltValue="oCHtx7UyH3/X5d/RaAcQ3w==" spinCount="100000" sheet="1" objects="1" scenarios="1"/>
  <mergeCells count="49">
    <mergeCell ref="C15:F15"/>
    <mergeCell ref="K8:K9"/>
    <mergeCell ref="C25:F25"/>
    <mergeCell ref="G25:J25"/>
    <mergeCell ref="C16:F16"/>
    <mergeCell ref="G16:J16"/>
    <mergeCell ref="C17:F17"/>
    <mergeCell ref="G17:J17"/>
    <mergeCell ref="G8:G9"/>
    <mergeCell ref="H8:H9"/>
    <mergeCell ref="J8:J9"/>
    <mergeCell ref="G18:J18"/>
    <mergeCell ref="C13:F13"/>
    <mergeCell ref="G13:J13"/>
    <mergeCell ref="C14:F14"/>
    <mergeCell ref="G19:J19"/>
    <mergeCell ref="C20:F20"/>
    <mergeCell ref="G20:J20"/>
    <mergeCell ref="C21:F21"/>
    <mergeCell ref="G21:J21"/>
    <mergeCell ref="O7:Q7"/>
    <mergeCell ref="O8:Q9"/>
    <mergeCell ref="B11:F11"/>
    <mergeCell ref="G11:J11"/>
    <mergeCell ref="C12:F12"/>
    <mergeCell ref="G12:J12"/>
    <mergeCell ref="B8:B9"/>
    <mergeCell ref="C8:C9"/>
    <mergeCell ref="D8:D9"/>
    <mergeCell ref="E8:E9"/>
    <mergeCell ref="L8:L9"/>
    <mergeCell ref="M8:M9"/>
    <mergeCell ref="I8:I9"/>
    <mergeCell ref="F8:F9"/>
    <mergeCell ref="G14:J14"/>
    <mergeCell ref="C18:F18"/>
    <mergeCell ref="G15:J15"/>
    <mergeCell ref="B31:C32"/>
    <mergeCell ref="C27:F27"/>
    <mergeCell ref="G27:J27"/>
    <mergeCell ref="C22:F22"/>
    <mergeCell ref="G22:J22"/>
    <mergeCell ref="C23:F23"/>
    <mergeCell ref="G23:J23"/>
    <mergeCell ref="C24:F24"/>
    <mergeCell ref="G24:J24"/>
    <mergeCell ref="C26:F26"/>
    <mergeCell ref="G26:J26"/>
    <mergeCell ref="C19:F19"/>
  </mergeCells>
  <conditionalFormatting sqref="K12:AL27">
    <cfRule type="containsText" dxfId="83" priority="3" operator="containsText" text="não">
      <formula>NOT(ISERROR(SEARCH("não",K12)))</formula>
    </cfRule>
    <cfRule type="containsText" dxfId="82" priority="4" operator="containsText" text="sim">
      <formula>NOT(ISERROR(SEARCH("sim",K12)))</formula>
    </cfRule>
  </conditionalFormatting>
  <conditionalFormatting sqref="G12:J2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{22AA65E8-47A3-48F3-A9F4-EE5C39E88191}</x14:id>
        </ext>
      </extLst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{CB6A516D-52E6-4FFB-ADC8-E517F70ADA64}</x14:id>
        </ext>
      </extLst>
    </cfRule>
  </conditionalFormatting>
  <dataValidations count="1">
    <dataValidation type="list" allowBlank="1" showInputMessage="1" showErrorMessage="1" sqref="K12:AL27" xr:uid="{00000000-0002-0000-1500-000000000000}">
      <formula1>"Sim,Não,00:30,01:00,01:30,02:00,02:30,03:00,03:30,04:00"</formula1>
    </dataValidation>
  </dataValidations>
  <hyperlinks>
    <hyperlink ref="B8" location="Desempenho!A1" display="janeiro" xr:uid="{00000000-0004-0000-1500-000000000000}"/>
    <hyperlink ref="C8" location="fev!A1" display="Fevereiro" xr:uid="{00000000-0004-0000-1500-000001000000}"/>
    <hyperlink ref="D8" location="mar!A1" display="Março" xr:uid="{00000000-0004-0000-1500-000002000000}"/>
    <hyperlink ref="E8" location="abr!A1" display="Abril" xr:uid="{00000000-0004-0000-1500-000003000000}"/>
    <hyperlink ref="F8" location="maio!A1" display="Maio" xr:uid="{00000000-0004-0000-1500-000004000000}"/>
    <hyperlink ref="G8" location="jun!A1" display="Junho" xr:uid="{00000000-0004-0000-1500-000005000000}"/>
    <hyperlink ref="H8" location="jul!A1" display="Julho" xr:uid="{00000000-0004-0000-1500-000006000000}"/>
    <hyperlink ref="I8" location="ago!A1" display="Agosto" xr:uid="{00000000-0004-0000-1500-000007000000}"/>
    <hyperlink ref="J8" location="set!A1" display="Setembro" xr:uid="{00000000-0004-0000-1500-000008000000}"/>
    <hyperlink ref="K8" location="out!A1" display="Outubro" xr:uid="{00000000-0004-0000-1500-000009000000}"/>
    <hyperlink ref="L8" location="nov!A1" display="Novembro" xr:uid="{00000000-0004-0000-1500-00000A000000}"/>
    <hyperlink ref="M8" location="dez!A1" display="Dezembro" xr:uid="{00000000-0004-0000-1500-00000B000000}"/>
  </hyperlink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2AA65E8-47A3-48F3-A9F4-EE5C39E88191}">
            <x14:dataBar minLength="0" maxLength="100" gradient="0">
              <x14:cfvo type="autoMin"/>
              <x14:cfvo type="autoMax"/>
              <x14:negativeFillColor rgb="FFFF0000"/>
              <x14:axisColor theme="0"/>
            </x14:dataBar>
          </x14:cfRule>
          <x14:cfRule type="dataBar" id="{CB6A516D-52E6-4FFB-ADC8-E517F70ADA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G12:J27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23"/>
  <dimension ref="A1:AO31"/>
  <sheetViews>
    <sheetView showGridLines="0" workbookViewId="0">
      <pane ySplit="4" topLeftCell="A5" activePane="bottomLeft" state="frozen"/>
      <selection activeCell="A5" sqref="A5"/>
      <selection pane="bottomLeft" activeCell="E8" sqref="E8:E9"/>
    </sheetView>
  </sheetViews>
  <sheetFormatPr defaultRowHeight="15" x14ac:dyDescent="0.25"/>
  <cols>
    <col min="1" max="1" width="3.85546875" style="27" customWidth="1"/>
    <col min="2" max="2" width="8.140625" style="27" bestFit="1" customWidth="1"/>
    <col min="3" max="3" width="10.5703125" style="27" bestFit="1" customWidth="1"/>
    <col min="4" max="4" width="7.5703125" style="27" bestFit="1" customWidth="1"/>
    <col min="5" max="5" width="6.140625" style="27" bestFit="1" customWidth="1"/>
    <col min="6" max="6" width="6.28515625" style="27" bestFit="1" customWidth="1"/>
    <col min="7" max="7" width="7.42578125" style="27" bestFit="1" customWidth="1"/>
    <col min="8" max="8" width="6.7109375" style="27" bestFit="1" customWidth="1"/>
    <col min="9" max="9" width="7.85546875" style="27" bestFit="1" customWidth="1"/>
    <col min="10" max="10" width="10.5703125" style="27" bestFit="1" customWidth="1"/>
    <col min="11" max="11" width="9.7109375" style="27" customWidth="1"/>
    <col min="12" max="12" width="11.7109375" style="27" customWidth="1"/>
    <col min="13" max="13" width="10.85546875" style="27" customWidth="1"/>
    <col min="14" max="16384" width="9.140625" style="27"/>
  </cols>
  <sheetData>
    <row r="1" spans="1:41" s="38" customFormat="1" x14ac:dyDescent="0.25"/>
    <row r="2" spans="1:41" s="38" customFormat="1" x14ac:dyDescent="0.25"/>
    <row r="3" spans="1:41" s="38" customFormat="1" x14ac:dyDescent="0.25"/>
    <row r="4" spans="1:41" s="38" customFormat="1" x14ac:dyDescent="0.25"/>
    <row r="5" spans="1:41" s="63" customFormat="1" ht="3.95" customHeight="1" x14ac:dyDescent="0.25"/>
    <row r="6" spans="1:41" ht="15" customHeight="1" x14ac:dyDescent="0.25"/>
    <row r="7" spans="1:41" ht="15" customHeight="1" x14ac:dyDescent="0.25">
      <c r="O7" s="246" t="s">
        <v>36</v>
      </c>
      <c r="P7" s="246"/>
      <c r="Q7" s="246"/>
    </row>
    <row r="8" spans="1:41" ht="15" customHeight="1" x14ac:dyDescent="0.25">
      <c r="A8" s="31"/>
      <c r="B8" s="197" t="s">
        <v>133</v>
      </c>
      <c r="C8" s="197" t="s">
        <v>25</v>
      </c>
      <c r="D8" s="197" t="s">
        <v>26</v>
      </c>
      <c r="E8" s="197" t="s">
        <v>27</v>
      </c>
      <c r="F8" s="197" t="s">
        <v>28</v>
      </c>
      <c r="G8" s="197" t="s">
        <v>29</v>
      </c>
      <c r="H8" s="197" t="s">
        <v>30</v>
      </c>
      <c r="I8" s="197" t="s">
        <v>31</v>
      </c>
      <c r="J8" s="197" t="s">
        <v>32</v>
      </c>
      <c r="K8" s="197" t="s">
        <v>33</v>
      </c>
      <c r="L8" s="197" t="s">
        <v>34</v>
      </c>
      <c r="M8" s="197" t="s">
        <v>35</v>
      </c>
      <c r="N8" s="48"/>
      <c r="O8" s="196">
        <f>SUM(G12:J27)</f>
        <v>0</v>
      </c>
      <c r="P8" s="196"/>
      <c r="Q8" s="196"/>
    </row>
    <row r="9" spans="1:41" ht="15" customHeight="1" x14ac:dyDescent="0.25">
      <c r="A9" s="31"/>
      <c r="B9" s="197"/>
      <c r="C9" s="197"/>
      <c r="D9" s="197"/>
      <c r="E9" s="197"/>
      <c r="F9" s="197"/>
      <c r="G9" s="197"/>
      <c r="H9" s="197"/>
      <c r="I9" s="197"/>
      <c r="J9" s="197"/>
      <c r="K9" s="197"/>
      <c r="L9" s="197"/>
      <c r="M9" s="197"/>
      <c r="O9" s="196"/>
      <c r="P9" s="196"/>
      <c r="Q9" s="196"/>
    </row>
    <row r="10" spans="1:41" ht="15" customHeight="1" x14ac:dyDescent="0.25">
      <c r="A10" s="18"/>
      <c r="B10" s="18"/>
      <c r="C10" s="18"/>
      <c r="D10" s="18"/>
      <c r="E10" s="18"/>
      <c r="F10" s="18"/>
      <c r="G10" s="18"/>
      <c r="H10" s="18"/>
      <c r="I10" s="18"/>
      <c r="J10" s="18"/>
      <c r="O10" s="32"/>
      <c r="P10" s="32"/>
      <c r="Q10" s="32"/>
    </row>
    <row r="11" spans="1:41" ht="20.25" x14ac:dyDescent="0.25">
      <c r="A11" s="19"/>
      <c r="B11" s="198" t="s">
        <v>134</v>
      </c>
      <c r="C11" s="198"/>
      <c r="D11" s="198"/>
      <c r="E11" s="198"/>
      <c r="F11" s="198"/>
      <c r="G11" s="195" t="s">
        <v>37</v>
      </c>
      <c r="H11" s="195"/>
      <c r="I11" s="195"/>
      <c r="J11" s="195"/>
      <c r="K11" s="21" t="s">
        <v>171</v>
      </c>
      <c r="L11" s="21" t="s">
        <v>172</v>
      </c>
      <c r="M11" s="21" t="s">
        <v>173</v>
      </c>
      <c r="N11" s="21" t="s">
        <v>174</v>
      </c>
      <c r="O11" s="21" t="s">
        <v>175</v>
      </c>
      <c r="P11" s="21" t="s">
        <v>176</v>
      </c>
      <c r="Q11" s="21" t="s">
        <v>177</v>
      </c>
      <c r="R11" s="21" t="s">
        <v>178</v>
      </c>
      <c r="S11" s="21" t="s">
        <v>179</v>
      </c>
      <c r="T11" s="21" t="s">
        <v>180</v>
      </c>
      <c r="U11" s="21" t="s">
        <v>181</v>
      </c>
      <c r="V11" s="21" t="s">
        <v>182</v>
      </c>
      <c r="W11" s="21" t="s">
        <v>183</v>
      </c>
      <c r="X11" s="21" t="s">
        <v>184</v>
      </c>
      <c r="Y11" s="21" t="s">
        <v>185</v>
      </c>
      <c r="Z11" s="21" t="s">
        <v>186</v>
      </c>
      <c r="AA11" s="21" t="s">
        <v>187</v>
      </c>
      <c r="AB11" s="21" t="s">
        <v>188</v>
      </c>
      <c r="AC11" s="21" t="s">
        <v>189</v>
      </c>
      <c r="AD11" s="21" t="s">
        <v>190</v>
      </c>
      <c r="AE11" s="21" t="s">
        <v>191</v>
      </c>
      <c r="AF11" s="21" t="s">
        <v>192</v>
      </c>
      <c r="AG11" s="21" t="s">
        <v>193</v>
      </c>
      <c r="AH11" s="21" t="s">
        <v>194</v>
      </c>
      <c r="AI11" s="21" t="s">
        <v>195</v>
      </c>
      <c r="AJ11" s="21" t="s">
        <v>196</v>
      </c>
      <c r="AK11" s="21" t="s">
        <v>197</v>
      </c>
      <c r="AL11" s="21" t="s">
        <v>198</v>
      </c>
      <c r="AM11" s="21" t="s">
        <v>199</v>
      </c>
      <c r="AN11" s="21" t="s">
        <v>200</v>
      </c>
      <c r="AO11" s="21" t="s">
        <v>201</v>
      </c>
    </row>
    <row r="12" spans="1:41" ht="26.1" customHeight="1" thickBot="1" x14ac:dyDescent="0.3">
      <c r="A12" s="1" t="s">
        <v>89</v>
      </c>
      <c r="B12" s="16">
        <v>1</v>
      </c>
      <c r="C12" s="199" t="str">
        <f>VLOOKUP(B12,Começo!A:D,3,0)</f>
        <v>Português</v>
      </c>
      <c r="D12" s="199"/>
      <c r="E12" s="199"/>
      <c r="F12" s="199"/>
      <c r="G12" s="194">
        <f>IFERROR(COUNTIF(Tabela14[#This Row],"sim"),"")*Começo!D14+SUM(Tabela14[#This Row])</f>
        <v>0</v>
      </c>
      <c r="H12" s="194"/>
      <c r="I12" s="194"/>
      <c r="J12" s="194"/>
      <c r="K12" s="158" t="s">
        <v>92</v>
      </c>
      <c r="L12" s="158" t="s">
        <v>92</v>
      </c>
      <c r="M12" s="158" t="s">
        <v>92</v>
      </c>
      <c r="N12" s="158" t="s">
        <v>92</v>
      </c>
      <c r="O12" s="158" t="s">
        <v>92</v>
      </c>
      <c r="P12" s="158" t="s">
        <v>92</v>
      </c>
      <c r="Q12" s="158" t="s">
        <v>92</v>
      </c>
      <c r="R12" s="158" t="s">
        <v>92</v>
      </c>
      <c r="S12" s="158" t="s">
        <v>92</v>
      </c>
      <c r="T12" s="158" t="s">
        <v>92</v>
      </c>
      <c r="U12" s="158" t="s">
        <v>92</v>
      </c>
      <c r="V12" s="158" t="s">
        <v>92</v>
      </c>
      <c r="W12" s="158" t="s">
        <v>92</v>
      </c>
      <c r="X12" s="158" t="s">
        <v>92</v>
      </c>
      <c r="Y12" s="158" t="s">
        <v>92</v>
      </c>
      <c r="Z12" s="158" t="s">
        <v>92</v>
      </c>
      <c r="AA12" s="158" t="s">
        <v>92</v>
      </c>
      <c r="AB12" s="158" t="s">
        <v>92</v>
      </c>
      <c r="AC12" s="158" t="s">
        <v>92</v>
      </c>
      <c r="AD12" s="158" t="s">
        <v>92</v>
      </c>
      <c r="AE12" s="158" t="s">
        <v>92</v>
      </c>
      <c r="AF12" s="158" t="s">
        <v>92</v>
      </c>
      <c r="AG12" s="158" t="s">
        <v>92</v>
      </c>
      <c r="AH12" s="158" t="s">
        <v>92</v>
      </c>
      <c r="AI12" s="158" t="s">
        <v>92</v>
      </c>
      <c r="AJ12" s="158" t="s">
        <v>92</v>
      </c>
      <c r="AK12" s="158" t="s">
        <v>92</v>
      </c>
      <c r="AL12" s="158" t="s">
        <v>92</v>
      </c>
      <c r="AM12" s="158" t="s">
        <v>92</v>
      </c>
      <c r="AN12" s="158" t="s">
        <v>92</v>
      </c>
      <c r="AO12" s="158" t="s">
        <v>92</v>
      </c>
    </row>
    <row r="13" spans="1:41" ht="26.1" customHeight="1" thickBot="1" x14ac:dyDescent="0.3">
      <c r="A13" s="1" t="s">
        <v>89</v>
      </c>
      <c r="B13" s="17">
        <v>2</v>
      </c>
      <c r="C13" s="199" t="str">
        <f>VLOOKUP(B13,Começo!A:D,3,0)</f>
        <v>Matemática</v>
      </c>
      <c r="D13" s="199"/>
      <c r="E13" s="199"/>
      <c r="F13" s="199"/>
      <c r="G13" s="194">
        <f>IFERROR(COUNTIF(Tabela14[#This Row],"sim"),"")*Começo!D15+SUM(Tabela14[#This Row])</f>
        <v>0</v>
      </c>
      <c r="H13" s="194"/>
      <c r="I13" s="194"/>
      <c r="J13" s="194"/>
      <c r="K13" s="158" t="s">
        <v>92</v>
      </c>
      <c r="L13" s="158" t="s">
        <v>92</v>
      </c>
      <c r="M13" s="158" t="s">
        <v>92</v>
      </c>
      <c r="N13" s="158" t="s">
        <v>92</v>
      </c>
      <c r="O13" s="158" t="s">
        <v>92</v>
      </c>
      <c r="P13" s="158" t="s">
        <v>92</v>
      </c>
      <c r="Q13" s="158" t="s">
        <v>92</v>
      </c>
      <c r="R13" s="158" t="s">
        <v>92</v>
      </c>
      <c r="S13" s="158" t="s">
        <v>92</v>
      </c>
      <c r="T13" s="158" t="s">
        <v>92</v>
      </c>
      <c r="U13" s="158" t="s">
        <v>92</v>
      </c>
      <c r="V13" s="158" t="s">
        <v>92</v>
      </c>
      <c r="W13" s="158" t="s">
        <v>92</v>
      </c>
      <c r="X13" s="158" t="s">
        <v>92</v>
      </c>
      <c r="Y13" s="158" t="s">
        <v>92</v>
      </c>
      <c r="Z13" s="158" t="s">
        <v>92</v>
      </c>
      <c r="AA13" s="158" t="s">
        <v>92</v>
      </c>
      <c r="AB13" s="158" t="s">
        <v>92</v>
      </c>
      <c r="AC13" s="158" t="s">
        <v>92</v>
      </c>
      <c r="AD13" s="158" t="s">
        <v>92</v>
      </c>
      <c r="AE13" s="158" t="s">
        <v>92</v>
      </c>
      <c r="AF13" s="158" t="s">
        <v>92</v>
      </c>
      <c r="AG13" s="158" t="s">
        <v>92</v>
      </c>
      <c r="AH13" s="158" t="s">
        <v>92</v>
      </c>
      <c r="AI13" s="158" t="s">
        <v>92</v>
      </c>
      <c r="AJ13" s="158" t="s">
        <v>92</v>
      </c>
      <c r="AK13" s="158" t="s">
        <v>92</v>
      </c>
      <c r="AL13" s="158" t="s">
        <v>92</v>
      </c>
      <c r="AM13" s="158" t="s">
        <v>92</v>
      </c>
      <c r="AN13" s="158" t="s">
        <v>92</v>
      </c>
      <c r="AO13" s="158" t="s">
        <v>92</v>
      </c>
    </row>
    <row r="14" spans="1:41" ht="26.1" customHeight="1" thickBot="1" x14ac:dyDescent="0.3">
      <c r="A14" s="1" t="s">
        <v>89</v>
      </c>
      <c r="B14" s="17">
        <v>3</v>
      </c>
      <c r="C14" s="199" t="str">
        <f>VLOOKUP(B14,Começo!A:D,3,0)</f>
        <v>História</v>
      </c>
      <c r="D14" s="199"/>
      <c r="E14" s="199"/>
      <c r="F14" s="199"/>
      <c r="G14" s="194">
        <f>IFERROR(COUNTIF(Tabela14[#This Row],"sim"),"")*Começo!D16+SUM(Tabela14[#This Row])</f>
        <v>0</v>
      </c>
      <c r="H14" s="194"/>
      <c r="I14" s="194"/>
      <c r="J14" s="194"/>
      <c r="K14" s="158" t="s">
        <v>92</v>
      </c>
      <c r="L14" s="158" t="s">
        <v>92</v>
      </c>
      <c r="M14" s="158" t="s">
        <v>92</v>
      </c>
      <c r="N14" s="158" t="s">
        <v>92</v>
      </c>
      <c r="O14" s="158" t="s">
        <v>92</v>
      </c>
      <c r="P14" s="158" t="s">
        <v>92</v>
      </c>
      <c r="Q14" s="158" t="s">
        <v>92</v>
      </c>
      <c r="R14" s="158" t="s">
        <v>92</v>
      </c>
      <c r="S14" s="158" t="s">
        <v>92</v>
      </c>
      <c r="T14" s="158" t="s">
        <v>92</v>
      </c>
      <c r="U14" s="158" t="s">
        <v>92</v>
      </c>
      <c r="V14" s="158" t="s">
        <v>92</v>
      </c>
      <c r="W14" s="158" t="s">
        <v>92</v>
      </c>
      <c r="X14" s="158" t="s">
        <v>92</v>
      </c>
      <c r="Y14" s="158" t="s">
        <v>92</v>
      </c>
      <c r="Z14" s="158" t="s">
        <v>92</v>
      </c>
      <c r="AA14" s="158" t="s">
        <v>92</v>
      </c>
      <c r="AB14" s="158" t="s">
        <v>92</v>
      </c>
      <c r="AC14" s="158" t="s">
        <v>92</v>
      </c>
      <c r="AD14" s="158" t="s">
        <v>92</v>
      </c>
      <c r="AE14" s="158" t="s">
        <v>92</v>
      </c>
      <c r="AF14" s="158" t="s">
        <v>92</v>
      </c>
      <c r="AG14" s="158" t="s">
        <v>92</v>
      </c>
      <c r="AH14" s="158" t="s">
        <v>92</v>
      </c>
      <c r="AI14" s="158" t="s">
        <v>92</v>
      </c>
      <c r="AJ14" s="158" t="s">
        <v>92</v>
      </c>
      <c r="AK14" s="158" t="s">
        <v>92</v>
      </c>
      <c r="AL14" s="158" t="s">
        <v>92</v>
      </c>
      <c r="AM14" s="158" t="s">
        <v>92</v>
      </c>
      <c r="AN14" s="158" t="s">
        <v>92</v>
      </c>
      <c r="AO14" s="158" t="s">
        <v>92</v>
      </c>
    </row>
    <row r="15" spans="1:41" ht="26.1" customHeight="1" thickBot="1" x14ac:dyDescent="0.3">
      <c r="A15" s="1" t="s">
        <v>89</v>
      </c>
      <c r="B15" s="17">
        <v>4</v>
      </c>
      <c r="C15" s="199" t="str">
        <f>VLOOKUP(B15,Começo!A:D,3,0)</f>
        <v>Física</v>
      </c>
      <c r="D15" s="199"/>
      <c r="E15" s="199"/>
      <c r="F15" s="199"/>
      <c r="G15" s="194">
        <f>IFERROR(COUNTIF(Tabela14[#This Row],"sim"),"")*Começo!D17+SUM(Tabela14[#This Row])</f>
        <v>0</v>
      </c>
      <c r="H15" s="194"/>
      <c r="I15" s="194"/>
      <c r="J15" s="194"/>
      <c r="K15" s="158" t="s">
        <v>92</v>
      </c>
      <c r="L15" s="158" t="s">
        <v>92</v>
      </c>
      <c r="M15" s="158" t="s">
        <v>92</v>
      </c>
      <c r="N15" s="158" t="s">
        <v>92</v>
      </c>
      <c r="O15" s="158" t="s">
        <v>92</v>
      </c>
      <c r="P15" s="158" t="s">
        <v>92</v>
      </c>
      <c r="Q15" s="158" t="s">
        <v>92</v>
      </c>
      <c r="R15" s="158" t="s">
        <v>92</v>
      </c>
      <c r="S15" s="158" t="s">
        <v>92</v>
      </c>
      <c r="T15" s="158" t="s">
        <v>92</v>
      </c>
      <c r="U15" s="158" t="s">
        <v>92</v>
      </c>
      <c r="V15" s="158" t="s">
        <v>92</v>
      </c>
      <c r="W15" s="158" t="s">
        <v>92</v>
      </c>
      <c r="X15" s="158" t="s">
        <v>92</v>
      </c>
      <c r="Y15" s="158" t="s">
        <v>92</v>
      </c>
      <c r="Z15" s="158" t="s">
        <v>92</v>
      </c>
      <c r="AA15" s="158" t="s">
        <v>92</v>
      </c>
      <c r="AB15" s="158" t="s">
        <v>92</v>
      </c>
      <c r="AC15" s="158" t="s">
        <v>92</v>
      </c>
      <c r="AD15" s="158" t="s">
        <v>92</v>
      </c>
      <c r="AE15" s="158" t="s">
        <v>92</v>
      </c>
      <c r="AF15" s="158" t="s">
        <v>92</v>
      </c>
      <c r="AG15" s="158" t="s">
        <v>92</v>
      </c>
      <c r="AH15" s="158" t="s">
        <v>92</v>
      </c>
      <c r="AI15" s="158" t="s">
        <v>92</v>
      </c>
      <c r="AJ15" s="158" t="s">
        <v>92</v>
      </c>
      <c r="AK15" s="158" t="s">
        <v>92</v>
      </c>
      <c r="AL15" s="158" t="s">
        <v>92</v>
      </c>
      <c r="AM15" s="158" t="s">
        <v>92</v>
      </c>
      <c r="AN15" s="158" t="s">
        <v>92</v>
      </c>
      <c r="AO15" s="158" t="s">
        <v>92</v>
      </c>
    </row>
    <row r="16" spans="1:41" ht="26.1" customHeight="1" thickBot="1" x14ac:dyDescent="0.3">
      <c r="A16" s="1" t="s">
        <v>89</v>
      </c>
      <c r="B16" s="17">
        <v>5</v>
      </c>
      <c r="C16" s="199" t="str">
        <f>VLOOKUP(B16,Começo!A:D,3,0)</f>
        <v>Quimíca</v>
      </c>
      <c r="D16" s="199"/>
      <c r="E16" s="199"/>
      <c r="F16" s="199"/>
      <c r="G16" s="194">
        <f>IFERROR(COUNTIF(Tabela14[#This Row],"sim"),"")*Começo!D18+SUM(Tabela14[#This Row])</f>
        <v>0</v>
      </c>
      <c r="H16" s="194"/>
      <c r="I16" s="194"/>
      <c r="J16" s="194"/>
      <c r="K16" s="158" t="s">
        <v>92</v>
      </c>
      <c r="L16" s="158" t="s">
        <v>92</v>
      </c>
      <c r="M16" s="158" t="s">
        <v>92</v>
      </c>
      <c r="N16" s="158" t="s">
        <v>92</v>
      </c>
      <c r="O16" s="158" t="s">
        <v>92</v>
      </c>
      <c r="P16" s="158" t="s">
        <v>92</v>
      </c>
      <c r="Q16" s="158" t="s">
        <v>92</v>
      </c>
      <c r="R16" s="158" t="s">
        <v>92</v>
      </c>
      <c r="S16" s="158" t="s">
        <v>92</v>
      </c>
      <c r="T16" s="158" t="s">
        <v>92</v>
      </c>
      <c r="U16" s="158" t="s">
        <v>92</v>
      </c>
      <c r="V16" s="158" t="s">
        <v>92</v>
      </c>
      <c r="W16" s="158" t="s">
        <v>92</v>
      </c>
      <c r="X16" s="158" t="s">
        <v>92</v>
      </c>
      <c r="Y16" s="158" t="s">
        <v>92</v>
      </c>
      <c r="Z16" s="158" t="s">
        <v>92</v>
      </c>
      <c r="AA16" s="158" t="s">
        <v>92</v>
      </c>
      <c r="AB16" s="158" t="s">
        <v>92</v>
      </c>
      <c r="AC16" s="158" t="s">
        <v>92</v>
      </c>
      <c r="AD16" s="158" t="s">
        <v>92</v>
      </c>
      <c r="AE16" s="158" t="s">
        <v>92</v>
      </c>
      <c r="AF16" s="158" t="s">
        <v>92</v>
      </c>
      <c r="AG16" s="158" t="s">
        <v>92</v>
      </c>
      <c r="AH16" s="158" t="s">
        <v>92</v>
      </c>
      <c r="AI16" s="158" t="s">
        <v>92</v>
      </c>
      <c r="AJ16" s="158" t="s">
        <v>92</v>
      </c>
      <c r="AK16" s="158" t="s">
        <v>92</v>
      </c>
      <c r="AL16" s="158" t="s">
        <v>92</v>
      </c>
      <c r="AM16" s="158" t="s">
        <v>92</v>
      </c>
      <c r="AN16" s="158" t="s">
        <v>92</v>
      </c>
      <c r="AO16" s="158" t="s">
        <v>92</v>
      </c>
    </row>
    <row r="17" spans="1:41" ht="26.1" customHeight="1" thickBot="1" x14ac:dyDescent="0.3">
      <c r="A17" s="1" t="s">
        <v>89</v>
      </c>
      <c r="B17" s="17">
        <v>6</v>
      </c>
      <c r="C17" s="199" t="str">
        <f>VLOOKUP(B17,Começo!A:D,3,0)</f>
        <v>Legislação</v>
      </c>
      <c r="D17" s="199"/>
      <c r="E17" s="199"/>
      <c r="F17" s="199"/>
      <c r="G17" s="194">
        <f>IFERROR(COUNTIF(Tabela14[#This Row],"sim"),"")*Começo!D19+SUM(Tabela14[#This Row])</f>
        <v>0</v>
      </c>
      <c r="H17" s="194"/>
      <c r="I17" s="194"/>
      <c r="J17" s="194"/>
      <c r="K17" s="158" t="s">
        <v>92</v>
      </c>
      <c r="L17" s="158" t="s">
        <v>92</v>
      </c>
      <c r="M17" s="158" t="s">
        <v>92</v>
      </c>
      <c r="N17" s="158" t="s">
        <v>92</v>
      </c>
      <c r="O17" s="158" t="s">
        <v>92</v>
      </c>
      <c r="P17" s="158" t="s">
        <v>92</v>
      </c>
      <c r="Q17" s="158" t="s">
        <v>92</v>
      </c>
      <c r="R17" s="158" t="s">
        <v>92</v>
      </c>
      <c r="S17" s="158" t="s">
        <v>92</v>
      </c>
      <c r="T17" s="158" t="s">
        <v>92</v>
      </c>
      <c r="U17" s="158" t="s">
        <v>92</v>
      </c>
      <c r="V17" s="158" t="s">
        <v>92</v>
      </c>
      <c r="W17" s="158" t="s">
        <v>92</v>
      </c>
      <c r="X17" s="158" t="s">
        <v>92</v>
      </c>
      <c r="Y17" s="158" t="s">
        <v>92</v>
      </c>
      <c r="Z17" s="158" t="s">
        <v>92</v>
      </c>
      <c r="AA17" s="158" t="s">
        <v>92</v>
      </c>
      <c r="AB17" s="158" t="s">
        <v>92</v>
      </c>
      <c r="AC17" s="158" t="s">
        <v>92</v>
      </c>
      <c r="AD17" s="158" t="s">
        <v>92</v>
      </c>
      <c r="AE17" s="158" t="s">
        <v>92</v>
      </c>
      <c r="AF17" s="158" t="s">
        <v>92</v>
      </c>
      <c r="AG17" s="158" t="s">
        <v>92</v>
      </c>
      <c r="AH17" s="158" t="s">
        <v>92</v>
      </c>
      <c r="AI17" s="158" t="s">
        <v>92</v>
      </c>
      <c r="AJ17" s="158" t="s">
        <v>92</v>
      </c>
      <c r="AK17" s="158" t="s">
        <v>92</v>
      </c>
      <c r="AL17" s="158" t="s">
        <v>92</v>
      </c>
      <c r="AM17" s="158" t="s">
        <v>92</v>
      </c>
      <c r="AN17" s="158" t="s">
        <v>92</v>
      </c>
      <c r="AO17" s="158" t="s">
        <v>92</v>
      </c>
    </row>
    <row r="18" spans="1:41" ht="26.1" customHeight="1" thickBot="1" x14ac:dyDescent="0.3">
      <c r="A18" s="1" t="s">
        <v>89</v>
      </c>
      <c r="B18" s="17">
        <v>7</v>
      </c>
      <c r="C18" s="199" t="str">
        <f>VLOOKUP(B18,Começo!A:D,3,0)</f>
        <v>Processo Penal</v>
      </c>
      <c r="D18" s="199"/>
      <c r="E18" s="199"/>
      <c r="F18" s="199"/>
      <c r="G18" s="194">
        <f>IFERROR(COUNTIF(Tabela14[#This Row],"sim"),"")*Começo!D20+SUM(Tabela14[#This Row])</f>
        <v>0</v>
      </c>
      <c r="H18" s="194"/>
      <c r="I18" s="194"/>
      <c r="J18" s="194"/>
      <c r="K18" s="158" t="s">
        <v>92</v>
      </c>
      <c r="L18" s="158" t="s">
        <v>92</v>
      </c>
      <c r="M18" s="158" t="s">
        <v>92</v>
      </c>
      <c r="N18" s="158" t="s">
        <v>92</v>
      </c>
      <c r="O18" s="158" t="s">
        <v>92</v>
      </c>
      <c r="P18" s="158" t="s">
        <v>92</v>
      </c>
      <c r="Q18" s="158" t="s">
        <v>92</v>
      </c>
      <c r="R18" s="158" t="s">
        <v>92</v>
      </c>
      <c r="S18" s="158" t="s">
        <v>92</v>
      </c>
      <c r="T18" s="158" t="s">
        <v>92</v>
      </c>
      <c r="U18" s="158" t="s">
        <v>92</v>
      </c>
      <c r="V18" s="158" t="s">
        <v>92</v>
      </c>
      <c r="W18" s="158" t="s">
        <v>92</v>
      </c>
      <c r="X18" s="158" t="s">
        <v>92</v>
      </c>
      <c r="Y18" s="158" t="s">
        <v>92</v>
      </c>
      <c r="Z18" s="158" t="s">
        <v>92</v>
      </c>
      <c r="AA18" s="158" t="s">
        <v>92</v>
      </c>
      <c r="AB18" s="158" t="s">
        <v>92</v>
      </c>
      <c r="AC18" s="158" t="s">
        <v>92</v>
      </c>
      <c r="AD18" s="158" t="s">
        <v>92</v>
      </c>
      <c r="AE18" s="158" t="s">
        <v>92</v>
      </c>
      <c r="AF18" s="158" t="s">
        <v>92</v>
      </c>
      <c r="AG18" s="158" t="s">
        <v>92</v>
      </c>
      <c r="AH18" s="158" t="s">
        <v>92</v>
      </c>
      <c r="AI18" s="158" t="s">
        <v>92</v>
      </c>
      <c r="AJ18" s="158" t="s">
        <v>92</v>
      </c>
      <c r="AK18" s="158" t="s">
        <v>92</v>
      </c>
      <c r="AL18" s="158" t="s">
        <v>92</v>
      </c>
      <c r="AM18" s="158" t="s">
        <v>92</v>
      </c>
      <c r="AN18" s="158" t="s">
        <v>92</v>
      </c>
      <c r="AO18" s="158" t="s">
        <v>92</v>
      </c>
    </row>
    <row r="19" spans="1:41" ht="26.1" customHeight="1" thickBot="1" x14ac:dyDescent="0.3">
      <c r="A19" s="1" t="s">
        <v>89</v>
      </c>
      <c r="B19" s="17">
        <v>8</v>
      </c>
      <c r="C19" s="199" t="str">
        <f>VLOOKUP(B19,Começo!A:D,3,0)</f>
        <v>Direito Administrativo</v>
      </c>
      <c r="D19" s="199"/>
      <c r="E19" s="199"/>
      <c r="F19" s="199"/>
      <c r="G19" s="194">
        <f>IFERROR(COUNTIF(Tabela14[#This Row],"sim"),"")*Começo!D21+SUM(Tabela14[#This Row])</f>
        <v>0</v>
      </c>
      <c r="H19" s="194"/>
      <c r="I19" s="194"/>
      <c r="J19" s="194"/>
      <c r="K19" s="158" t="s">
        <v>92</v>
      </c>
      <c r="L19" s="158" t="s">
        <v>92</v>
      </c>
      <c r="M19" s="158" t="s">
        <v>92</v>
      </c>
      <c r="N19" s="158" t="s">
        <v>92</v>
      </c>
      <c r="O19" s="158" t="s">
        <v>92</v>
      </c>
      <c r="P19" s="158" t="s">
        <v>92</v>
      </c>
      <c r="Q19" s="158" t="s">
        <v>92</v>
      </c>
      <c r="R19" s="158" t="s">
        <v>92</v>
      </c>
      <c r="S19" s="158" t="s">
        <v>92</v>
      </c>
      <c r="T19" s="158" t="s">
        <v>92</v>
      </c>
      <c r="U19" s="158" t="s">
        <v>92</v>
      </c>
      <c r="V19" s="158" t="s">
        <v>92</v>
      </c>
      <c r="W19" s="158" t="s">
        <v>92</v>
      </c>
      <c r="X19" s="158" t="s">
        <v>92</v>
      </c>
      <c r="Y19" s="158" t="s">
        <v>92</v>
      </c>
      <c r="Z19" s="158" t="s">
        <v>92</v>
      </c>
      <c r="AA19" s="158" t="s">
        <v>92</v>
      </c>
      <c r="AB19" s="158" t="s">
        <v>92</v>
      </c>
      <c r="AC19" s="158" t="s">
        <v>92</v>
      </c>
      <c r="AD19" s="158" t="s">
        <v>92</v>
      </c>
      <c r="AE19" s="158" t="s">
        <v>92</v>
      </c>
      <c r="AF19" s="158" t="s">
        <v>92</v>
      </c>
      <c r="AG19" s="158" t="s">
        <v>92</v>
      </c>
      <c r="AH19" s="158" t="s">
        <v>92</v>
      </c>
      <c r="AI19" s="158" t="s">
        <v>92</v>
      </c>
      <c r="AJ19" s="158" t="s">
        <v>92</v>
      </c>
      <c r="AK19" s="158" t="s">
        <v>92</v>
      </c>
      <c r="AL19" s="158" t="s">
        <v>92</v>
      </c>
      <c r="AM19" s="158" t="s">
        <v>92</v>
      </c>
      <c r="AN19" s="158" t="s">
        <v>92</v>
      </c>
      <c r="AO19" s="158" t="s">
        <v>92</v>
      </c>
    </row>
    <row r="20" spans="1:41" ht="26.1" customHeight="1" thickBot="1" x14ac:dyDescent="0.3">
      <c r="A20" s="1" t="s">
        <v>89</v>
      </c>
      <c r="B20" s="17">
        <v>9</v>
      </c>
      <c r="C20" s="199" t="str">
        <f>VLOOKUP(B20,Começo!A:D,3,0)</f>
        <v>Direito Tributário</v>
      </c>
      <c r="D20" s="199"/>
      <c r="E20" s="199"/>
      <c r="F20" s="199"/>
      <c r="G20" s="194">
        <f>IFERROR(COUNTIF(Tabela14[#This Row],"sim"),"")*Começo!D22+SUM(Tabela14[#This Row])</f>
        <v>0</v>
      </c>
      <c r="H20" s="194"/>
      <c r="I20" s="194"/>
      <c r="J20" s="194"/>
      <c r="K20" s="158" t="s">
        <v>92</v>
      </c>
      <c r="L20" s="158" t="s">
        <v>92</v>
      </c>
      <c r="M20" s="158" t="s">
        <v>92</v>
      </c>
      <c r="N20" s="158" t="s">
        <v>92</v>
      </c>
      <c r="O20" s="158" t="s">
        <v>92</v>
      </c>
      <c r="P20" s="158" t="s">
        <v>92</v>
      </c>
      <c r="Q20" s="158" t="s">
        <v>92</v>
      </c>
      <c r="R20" s="158" t="s">
        <v>92</v>
      </c>
      <c r="S20" s="158" t="s">
        <v>92</v>
      </c>
      <c r="T20" s="158" t="s">
        <v>92</v>
      </c>
      <c r="U20" s="158" t="s">
        <v>92</v>
      </c>
      <c r="V20" s="158" t="s">
        <v>92</v>
      </c>
      <c r="W20" s="158" t="s">
        <v>92</v>
      </c>
      <c r="X20" s="158" t="s">
        <v>92</v>
      </c>
      <c r="Y20" s="158" t="s">
        <v>92</v>
      </c>
      <c r="Z20" s="158" t="s">
        <v>92</v>
      </c>
      <c r="AA20" s="158" t="s">
        <v>92</v>
      </c>
      <c r="AB20" s="158" t="s">
        <v>92</v>
      </c>
      <c r="AC20" s="158" t="s">
        <v>92</v>
      </c>
      <c r="AD20" s="158" t="s">
        <v>92</v>
      </c>
      <c r="AE20" s="158" t="s">
        <v>92</v>
      </c>
      <c r="AF20" s="158" t="s">
        <v>92</v>
      </c>
      <c r="AG20" s="158" t="s">
        <v>92</v>
      </c>
      <c r="AH20" s="158" t="s">
        <v>92</v>
      </c>
      <c r="AI20" s="158" t="s">
        <v>92</v>
      </c>
      <c r="AJ20" s="158" t="s">
        <v>92</v>
      </c>
      <c r="AK20" s="158" t="s">
        <v>92</v>
      </c>
      <c r="AL20" s="158" t="s">
        <v>92</v>
      </c>
      <c r="AM20" s="158" t="s">
        <v>92</v>
      </c>
      <c r="AN20" s="158" t="s">
        <v>92</v>
      </c>
      <c r="AO20" s="158" t="s">
        <v>92</v>
      </c>
    </row>
    <row r="21" spans="1:41" ht="26.1" customHeight="1" thickBot="1" x14ac:dyDescent="0.3">
      <c r="A21" s="1" t="s">
        <v>89</v>
      </c>
      <c r="B21" s="17">
        <v>10</v>
      </c>
      <c r="C21" s="199" t="str">
        <f>VLOOKUP(B21,Começo!A:D,3,0)</f>
        <v>Inglês</v>
      </c>
      <c r="D21" s="199"/>
      <c r="E21" s="199"/>
      <c r="F21" s="199"/>
      <c r="G21" s="194">
        <f>IFERROR(COUNTIF(Tabela14[#This Row],"sim"),"")*Começo!D23+SUM(Tabela14[#This Row])</f>
        <v>0</v>
      </c>
      <c r="H21" s="194"/>
      <c r="I21" s="194"/>
      <c r="J21" s="194"/>
      <c r="K21" s="158" t="s">
        <v>92</v>
      </c>
      <c r="L21" s="158" t="s">
        <v>92</v>
      </c>
      <c r="M21" s="158" t="s">
        <v>92</v>
      </c>
      <c r="N21" s="158" t="s">
        <v>92</v>
      </c>
      <c r="O21" s="158" t="s">
        <v>92</v>
      </c>
      <c r="P21" s="158" t="s">
        <v>92</v>
      </c>
      <c r="Q21" s="158" t="s">
        <v>92</v>
      </c>
      <c r="R21" s="158" t="s">
        <v>92</v>
      </c>
      <c r="S21" s="158" t="s">
        <v>92</v>
      </c>
      <c r="T21" s="158" t="s">
        <v>92</v>
      </c>
      <c r="U21" s="158" t="s">
        <v>92</v>
      </c>
      <c r="V21" s="158" t="s">
        <v>92</v>
      </c>
      <c r="W21" s="158" t="s">
        <v>92</v>
      </c>
      <c r="X21" s="158" t="s">
        <v>92</v>
      </c>
      <c r="Y21" s="158" t="s">
        <v>92</v>
      </c>
      <c r="Z21" s="158" t="s">
        <v>92</v>
      </c>
      <c r="AA21" s="158" t="s">
        <v>92</v>
      </c>
      <c r="AB21" s="158" t="s">
        <v>92</v>
      </c>
      <c r="AC21" s="158" t="s">
        <v>92</v>
      </c>
      <c r="AD21" s="158" t="s">
        <v>92</v>
      </c>
      <c r="AE21" s="158" t="s">
        <v>92</v>
      </c>
      <c r="AF21" s="158" t="s">
        <v>92</v>
      </c>
      <c r="AG21" s="158" t="s">
        <v>92</v>
      </c>
      <c r="AH21" s="158" t="s">
        <v>92</v>
      </c>
      <c r="AI21" s="158" t="s">
        <v>92</v>
      </c>
      <c r="AJ21" s="158" t="s">
        <v>92</v>
      </c>
      <c r="AK21" s="158" t="s">
        <v>92</v>
      </c>
      <c r="AL21" s="158" t="s">
        <v>92</v>
      </c>
      <c r="AM21" s="158" t="s">
        <v>92</v>
      </c>
      <c r="AN21" s="158" t="s">
        <v>92</v>
      </c>
      <c r="AO21" s="158" t="s">
        <v>92</v>
      </c>
    </row>
    <row r="22" spans="1:41" ht="26.1" customHeight="1" thickBot="1" x14ac:dyDescent="0.3">
      <c r="A22" s="1" t="s">
        <v>89</v>
      </c>
      <c r="B22" s="17">
        <v>11</v>
      </c>
      <c r="C22" s="199" t="str">
        <f>VLOOKUP(B22,Começo!A:D,3,0)</f>
        <v>Análise de Sistemas</v>
      </c>
      <c r="D22" s="199"/>
      <c r="E22" s="199"/>
      <c r="F22" s="199"/>
      <c r="G22" s="194">
        <f>IFERROR(COUNTIF(Tabela14[#This Row],"sim"),"")*Começo!D24+SUM(Tabela14[#This Row])</f>
        <v>0</v>
      </c>
      <c r="H22" s="194"/>
      <c r="I22" s="194"/>
      <c r="J22" s="194"/>
      <c r="K22" s="158" t="s">
        <v>92</v>
      </c>
      <c r="L22" s="158" t="s">
        <v>92</v>
      </c>
      <c r="M22" s="158" t="s">
        <v>92</v>
      </c>
      <c r="N22" s="158" t="s">
        <v>92</v>
      </c>
      <c r="O22" s="158" t="s">
        <v>92</v>
      </c>
      <c r="P22" s="158" t="s">
        <v>92</v>
      </c>
      <c r="Q22" s="158" t="s">
        <v>92</v>
      </c>
      <c r="R22" s="158" t="s">
        <v>92</v>
      </c>
      <c r="S22" s="158" t="s">
        <v>92</v>
      </c>
      <c r="T22" s="158" t="s">
        <v>92</v>
      </c>
      <c r="U22" s="158" t="s">
        <v>92</v>
      </c>
      <c r="V22" s="158" t="s">
        <v>92</v>
      </c>
      <c r="W22" s="158" t="s">
        <v>92</v>
      </c>
      <c r="X22" s="158" t="s">
        <v>92</v>
      </c>
      <c r="Y22" s="158" t="s">
        <v>92</v>
      </c>
      <c r="Z22" s="158" t="s">
        <v>92</v>
      </c>
      <c r="AA22" s="158" t="s">
        <v>92</v>
      </c>
      <c r="AB22" s="158" t="s">
        <v>92</v>
      </c>
      <c r="AC22" s="158" t="s">
        <v>92</v>
      </c>
      <c r="AD22" s="158" t="s">
        <v>92</v>
      </c>
      <c r="AE22" s="158" t="s">
        <v>92</v>
      </c>
      <c r="AF22" s="158" t="s">
        <v>92</v>
      </c>
      <c r="AG22" s="158" t="s">
        <v>92</v>
      </c>
      <c r="AH22" s="158" t="s">
        <v>92</v>
      </c>
      <c r="AI22" s="158" t="s">
        <v>92</v>
      </c>
      <c r="AJ22" s="158" t="s">
        <v>92</v>
      </c>
      <c r="AK22" s="158" t="s">
        <v>92</v>
      </c>
      <c r="AL22" s="158" t="s">
        <v>92</v>
      </c>
      <c r="AM22" s="158" t="s">
        <v>92</v>
      </c>
      <c r="AN22" s="158" t="s">
        <v>92</v>
      </c>
      <c r="AO22" s="158" t="s">
        <v>92</v>
      </c>
    </row>
    <row r="23" spans="1:41" ht="26.1" customHeight="1" thickBot="1" x14ac:dyDescent="0.3">
      <c r="A23" s="1" t="s">
        <v>89</v>
      </c>
      <c r="B23" s="17">
        <v>12</v>
      </c>
      <c r="C23" s="199" t="str">
        <f>VLOOKUP(B23,Começo!A:D,3,0)</f>
        <v>Direito Legislativo</v>
      </c>
      <c r="D23" s="199"/>
      <c r="E23" s="199"/>
      <c r="F23" s="199"/>
      <c r="G23" s="194">
        <f>IFERROR(COUNTIF(Tabela14[#This Row],"sim"),"")*Começo!D25+SUM(Tabela14[#This Row])</f>
        <v>0</v>
      </c>
      <c r="H23" s="194"/>
      <c r="I23" s="194"/>
      <c r="J23" s="194"/>
      <c r="K23" s="158" t="s">
        <v>92</v>
      </c>
      <c r="L23" s="158" t="s">
        <v>92</v>
      </c>
      <c r="M23" s="158" t="s">
        <v>92</v>
      </c>
      <c r="N23" s="158" t="s">
        <v>92</v>
      </c>
      <c r="O23" s="158" t="s">
        <v>92</v>
      </c>
      <c r="P23" s="158" t="s">
        <v>92</v>
      </c>
      <c r="Q23" s="158" t="s">
        <v>92</v>
      </c>
      <c r="R23" s="158" t="s">
        <v>92</v>
      </c>
      <c r="S23" s="158" t="s">
        <v>92</v>
      </c>
      <c r="T23" s="158" t="s">
        <v>92</v>
      </c>
      <c r="U23" s="158" t="s">
        <v>92</v>
      </c>
      <c r="V23" s="158" t="s">
        <v>92</v>
      </c>
      <c r="W23" s="158" t="s">
        <v>92</v>
      </c>
      <c r="X23" s="158" t="s">
        <v>92</v>
      </c>
      <c r="Y23" s="158" t="s">
        <v>92</v>
      </c>
      <c r="Z23" s="158" t="s">
        <v>92</v>
      </c>
      <c r="AA23" s="158" t="s">
        <v>92</v>
      </c>
      <c r="AB23" s="158" t="s">
        <v>92</v>
      </c>
      <c r="AC23" s="158" t="s">
        <v>92</v>
      </c>
      <c r="AD23" s="158" t="s">
        <v>92</v>
      </c>
      <c r="AE23" s="158" t="s">
        <v>92</v>
      </c>
      <c r="AF23" s="158" t="s">
        <v>92</v>
      </c>
      <c r="AG23" s="158" t="s">
        <v>92</v>
      </c>
      <c r="AH23" s="158" t="s">
        <v>92</v>
      </c>
      <c r="AI23" s="158" t="s">
        <v>92</v>
      </c>
      <c r="AJ23" s="158" t="s">
        <v>92</v>
      </c>
      <c r="AK23" s="158" t="s">
        <v>92</v>
      </c>
      <c r="AL23" s="158" t="s">
        <v>92</v>
      </c>
      <c r="AM23" s="158" t="s">
        <v>92</v>
      </c>
      <c r="AN23" s="158" t="s">
        <v>92</v>
      </c>
      <c r="AO23" s="158" t="s">
        <v>92</v>
      </c>
    </row>
    <row r="24" spans="1:41" ht="26.1" customHeight="1" thickBot="1" x14ac:dyDescent="0.3">
      <c r="A24" s="1" t="s">
        <v>89</v>
      </c>
      <c r="B24" s="17">
        <v>13</v>
      </c>
      <c r="C24" s="199" t="str">
        <f>VLOOKUP(B24,Começo!A:D,3,0)</f>
        <v>Mecânica dos Fluídos</v>
      </c>
      <c r="D24" s="199"/>
      <c r="E24" s="199"/>
      <c r="F24" s="199"/>
      <c r="G24" s="194">
        <f>IFERROR(COUNTIF(Tabela14[#This Row],"sim"),"")*Começo!D26+SUM(Tabela14[#This Row])</f>
        <v>0</v>
      </c>
      <c r="H24" s="194"/>
      <c r="I24" s="194"/>
      <c r="J24" s="194"/>
      <c r="K24" s="158" t="s">
        <v>92</v>
      </c>
      <c r="L24" s="158" t="s">
        <v>92</v>
      </c>
      <c r="M24" s="158" t="s">
        <v>92</v>
      </c>
      <c r="N24" s="158" t="s">
        <v>92</v>
      </c>
      <c r="O24" s="158" t="s">
        <v>92</v>
      </c>
      <c r="P24" s="158" t="s">
        <v>92</v>
      </c>
      <c r="Q24" s="158" t="s">
        <v>92</v>
      </c>
      <c r="R24" s="158" t="s">
        <v>92</v>
      </c>
      <c r="S24" s="158" t="s">
        <v>92</v>
      </c>
      <c r="T24" s="158" t="s">
        <v>92</v>
      </c>
      <c r="U24" s="158" t="s">
        <v>92</v>
      </c>
      <c r="V24" s="158" t="s">
        <v>92</v>
      </c>
      <c r="W24" s="158" t="s">
        <v>92</v>
      </c>
      <c r="X24" s="158" t="s">
        <v>92</v>
      </c>
      <c r="Y24" s="158" t="s">
        <v>92</v>
      </c>
      <c r="Z24" s="158" t="s">
        <v>92</v>
      </c>
      <c r="AA24" s="158" t="s">
        <v>92</v>
      </c>
      <c r="AB24" s="158" t="s">
        <v>92</v>
      </c>
      <c r="AC24" s="158" t="s">
        <v>92</v>
      </c>
      <c r="AD24" s="158" t="s">
        <v>92</v>
      </c>
      <c r="AE24" s="158" t="s">
        <v>92</v>
      </c>
      <c r="AF24" s="158" t="s">
        <v>92</v>
      </c>
      <c r="AG24" s="158" t="s">
        <v>92</v>
      </c>
      <c r="AH24" s="158" t="s">
        <v>92</v>
      </c>
      <c r="AI24" s="158" t="s">
        <v>92</v>
      </c>
      <c r="AJ24" s="158" t="s">
        <v>92</v>
      </c>
      <c r="AK24" s="158" t="s">
        <v>92</v>
      </c>
      <c r="AL24" s="158" t="s">
        <v>92</v>
      </c>
      <c r="AM24" s="158" t="s">
        <v>92</v>
      </c>
      <c r="AN24" s="158" t="s">
        <v>92</v>
      </c>
      <c r="AO24" s="158" t="s">
        <v>92</v>
      </c>
    </row>
    <row r="25" spans="1:41" ht="26.1" customHeight="1" thickBot="1" x14ac:dyDescent="0.3">
      <c r="A25" s="1" t="s">
        <v>89</v>
      </c>
      <c r="B25" s="17">
        <v>14</v>
      </c>
      <c r="C25" s="199" t="str">
        <f>VLOOKUP(B25,Começo!A:D,3,0)</f>
        <v>IoT</v>
      </c>
      <c r="D25" s="199"/>
      <c r="E25" s="199"/>
      <c r="F25" s="199"/>
      <c r="G25" s="194">
        <f>IFERROR(COUNTIF(Tabela14[#This Row],"sim"),"")*Começo!D27+SUM(Tabela14[#This Row])</f>
        <v>0</v>
      </c>
      <c r="H25" s="194"/>
      <c r="I25" s="194"/>
      <c r="J25" s="194"/>
      <c r="K25" s="158" t="s">
        <v>92</v>
      </c>
      <c r="L25" s="158" t="s">
        <v>92</v>
      </c>
      <c r="M25" s="158" t="s">
        <v>92</v>
      </c>
      <c r="N25" s="158" t="s">
        <v>92</v>
      </c>
      <c r="O25" s="158" t="s">
        <v>92</v>
      </c>
      <c r="P25" s="158" t="s">
        <v>92</v>
      </c>
      <c r="Q25" s="158" t="s">
        <v>92</v>
      </c>
      <c r="R25" s="158" t="s">
        <v>92</v>
      </c>
      <c r="S25" s="158" t="s">
        <v>92</v>
      </c>
      <c r="T25" s="158" t="s">
        <v>92</v>
      </c>
      <c r="U25" s="158" t="s">
        <v>92</v>
      </c>
      <c r="V25" s="158" t="s">
        <v>92</v>
      </c>
      <c r="W25" s="158" t="s">
        <v>92</v>
      </c>
      <c r="X25" s="158" t="s">
        <v>92</v>
      </c>
      <c r="Y25" s="158" t="s">
        <v>92</v>
      </c>
      <c r="Z25" s="158" t="s">
        <v>92</v>
      </c>
      <c r="AA25" s="158" t="s">
        <v>92</v>
      </c>
      <c r="AB25" s="158" t="s">
        <v>92</v>
      </c>
      <c r="AC25" s="158" t="s">
        <v>92</v>
      </c>
      <c r="AD25" s="158" t="s">
        <v>92</v>
      </c>
      <c r="AE25" s="158" t="s">
        <v>92</v>
      </c>
      <c r="AF25" s="158" t="s">
        <v>92</v>
      </c>
      <c r="AG25" s="158" t="s">
        <v>92</v>
      </c>
      <c r="AH25" s="158" t="s">
        <v>92</v>
      </c>
      <c r="AI25" s="158" t="s">
        <v>92</v>
      </c>
      <c r="AJ25" s="158" t="s">
        <v>92</v>
      </c>
      <c r="AK25" s="158" t="s">
        <v>92</v>
      </c>
      <c r="AL25" s="158" t="s">
        <v>92</v>
      </c>
      <c r="AM25" s="158" t="s">
        <v>92</v>
      </c>
      <c r="AN25" s="158" t="s">
        <v>92</v>
      </c>
      <c r="AO25" s="158" t="s">
        <v>92</v>
      </c>
    </row>
    <row r="26" spans="1:41" ht="26.1" customHeight="1" thickBot="1" x14ac:dyDescent="0.3">
      <c r="A26" s="1" t="s">
        <v>89</v>
      </c>
      <c r="B26" s="17">
        <v>15</v>
      </c>
      <c r="C26" s="199" t="str">
        <f>VLOOKUP(B26,Começo!A:D,3,0)</f>
        <v>Astrologia</v>
      </c>
      <c r="D26" s="199"/>
      <c r="E26" s="199"/>
      <c r="F26" s="199"/>
      <c r="G26" s="194">
        <f>IFERROR(COUNTIF(Tabela14[#This Row],"sim"),"")*Começo!D28+SUM(Tabela14[#This Row])</f>
        <v>0</v>
      </c>
      <c r="H26" s="194"/>
      <c r="I26" s="194"/>
      <c r="J26" s="194"/>
      <c r="K26" s="158" t="s">
        <v>92</v>
      </c>
      <c r="L26" s="158" t="s">
        <v>92</v>
      </c>
      <c r="M26" s="158" t="s">
        <v>92</v>
      </c>
      <c r="N26" s="158" t="s">
        <v>92</v>
      </c>
      <c r="O26" s="158" t="s">
        <v>92</v>
      </c>
      <c r="P26" s="158" t="s">
        <v>92</v>
      </c>
      <c r="Q26" s="158" t="s">
        <v>92</v>
      </c>
      <c r="R26" s="158" t="s">
        <v>92</v>
      </c>
      <c r="S26" s="158" t="s">
        <v>92</v>
      </c>
      <c r="T26" s="158" t="s">
        <v>92</v>
      </c>
      <c r="U26" s="158" t="s">
        <v>92</v>
      </c>
      <c r="V26" s="158" t="s">
        <v>92</v>
      </c>
      <c r="W26" s="158" t="s">
        <v>92</v>
      </c>
      <c r="X26" s="158" t="s">
        <v>92</v>
      </c>
      <c r="Y26" s="158" t="s">
        <v>92</v>
      </c>
      <c r="Z26" s="158" t="s">
        <v>92</v>
      </c>
      <c r="AA26" s="158" t="s">
        <v>92</v>
      </c>
      <c r="AB26" s="158" t="s">
        <v>92</v>
      </c>
      <c r="AC26" s="158" t="s">
        <v>92</v>
      </c>
      <c r="AD26" s="158" t="s">
        <v>92</v>
      </c>
      <c r="AE26" s="158" t="s">
        <v>92</v>
      </c>
      <c r="AF26" s="158" t="s">
        <v>92</v>
      </c>
      <c r="AG26" s="158" t="s">
        <v>92</v>
      </c>
      <c r="AH26" s="158" t="s">
        <v>92</v>
      </c>
      <c r="AI26" s="158" t="s">
        <v>92</v>
      </c>
      <c r="AJ26" s="158" t="s">
        <v>92</v>
      </c>
      <c r="AK26" s="158" t="s">
        <v>92</v>
      </c>
      <c r="AL26" s="158" t="s">
        <v>92</v>
      </c>
      <c r="AM26" s="158" t="s">
        <v>92</v>
      </c>
      <c r="AN26" s="158" t="s">
        <v>92</v>
      </c>
      <c r="AO26" s="158" t="s">
        <v>92</v>
      </c>
    </row>
    <row r="27" spans="1:41" ht="26.1" customHeight="1" thickBot="1" x14ac:dyDescent="0.3">
      <c r="A27" s="1" t="s">
        <v>89</v>
      </c>
      <c r="B27" s="17">
        <v>16</v>
      </c>
      <c r="C27" s="199" t="str">
        <f>VLOOKUP(B27,Começo!A:D,3,0)</f>
        <v>Colorimetria</v>
      </c>
      <c r="D27" s="199"/>
      <c r="E27" s="199"/>
      <c r="F27" s="199"/>
      <c r="G27" s="194">
        <f>IFERROR(COUNTIF(Tabela14[#This Row],"sim"),"")*Começo!D29+SUM(Tabela14[#This Row])</f>
        <v>0</v>
      </c>
      <c r="H27" s="194"/>
      <c r="I27" s="194"/>
      <c r="J27" s="194"/>
      <c r="K27" s="158" t="s">
        <v>92</v>
      </c>
      <c r="L27" s="158" t="s">
        <v>92</v>
      </c>
      <c r="M27" s="158" t="s">
        <v>92</v>
      </c>
      <c r="N27" s="158" t="s">
        <v>92</v>
      </c>
      <c r="O27" s="158" t="s">
        <v>92</v>
      </c>
      <c r="P27" s="158" t="s">
        <v>92</v>
      </c>
      <c r="Q27" s="158" t="s">
        <v>92</v>
      </c>
      <c r="R27" s="158" t="s">
        <v>92</v>
      </c>
      <c r="S27" s="158" t="s">
        <v>92</v>
      </c>
      <c r="T27" s="158" t="s">
        <v>92</v>
      </c>
      <c r="U27" s="158" t="s">
        <v>92</v>
      </c>
      <c r="V27" s="158" t="s">
        <v>92</v>
      </c>
      <c r="W27" s="158" t="s">
        <v>92</v>
      </c>
      <c r="X27" s="158" t="s">
        <v>92</v>
      </c>
      <c r="Y27" s="158" t="s">
        <v>92</v>
      </c>
      <c r="Z27" s="158" t="s">
        <v>92</v>
      </c>
      <c r="AA27" s="158" t="s">
        <v>92</v>
      </c>
      <c r="AB27" s="158" t="s">
        <v>92</v>
      </c>
      <c r="AC27" s="158" t="s">
        <v>92</v>
      </c>
      <c r="AD27" s="158" t="s">
        <v>92</v>
      </c>
      <c r="AE27" s="158" t="s">
        <v>92</v>
      </c>
      <c r="AF27" s="158" t="s">
        <v>92</v>
      </c>
      <c r="AG27" s="158" t="s">
        <v>92</v>
      </c>
      <c r="AH27" s="158" t="s">
        <v>92</v>
      </c>
      <c r="AI27" s="158" t="s">
        <v>92</v>
      </c>
      <c r="AJ27" s="158" t="s">
        <v>92</v>
      </c>
      <c r="AK27" s="158" t="s">
        <v>92</v>
      </c>
      <c r="AL27" s="158" t="s">
        <v>92</v>
      </c>
      <c r="AM27" s="158" t="s">
        <v>92</v>
      </c>
      <c r="AN27" s="158" t="s">
        <v>92</v>
      </c>
      <c r="AO27" s="158" t="s">
        <v>92</v>
      </c>
    </row>
    <row r="28" spans="1:41" ht="16.5" x14ac:dyDescent="0.25">
      <c r="K28" s="159">
        <f>SUBTOTAL(109,Tabela14[1-mar])</f>
        <v>0</v>
      </c>
      <c r="L28" s="159">
        <f>SUBTOTAL(109,Tabela14[2-mar])</f>
        <v>0</v>
      </c>
      <c r="M28" s="159">
        <f>SUBTOTAL(109,Tabela14[3-mar])</f>
        <v>0</v>
      </c>
      <c r="N28" s="159">
        <f>SUBTOTAL(109,Tabela14[4-mar])</f>
        <v>0</v>
      </c>
      <c r="O28" s="159">
        <f>SUBTOTAL(109,Tabela14[5-mar])</f>
        <v>0</v>
      </c>
      <c r="P28" s="159">
        <f>SUBTOTAL(109,Tabela14[6-mar])</f>
        <v>0</v>
      </c>
      <c r="Q28" s="159">
        <f>SUBTOTAL(109,Tabela14[7-mar])</f>
        <v>0</v>
      </c>
      <c r="R28" s="159">
        <f>SUBTOTAL(109,Tabela14[8-mar])</f>
        <v>0</v>
      </c>
      <c r="S28" s="159">
        <f>SUBTOTAL(109,Tabela14[9-mar])</f>
        <v>0</v>
      </c>
      <c r="T28" s="159">
        <f>SUBTOTAL(109,Tabela14[10-mar])</f>
        <v>0</v>
      </c>
      <c r="U28" s="159">
        <f>SUBTOTAL(109,Tabela14[11-mar])</f>
        <v>0</v>
      </c>
      <c r="V28" s="159">
        <f>SUBTOTAL(109,Tabela14[12-mar])</f>
        <v>0</v>
      </c>
      <c r="W28" s="159">
        <f>SUBTOTAL(109,Tabela14[13-mar])</f>
        <v>0</v>
      </c>
      <c r="X28" s="159">
        <f>SUBTOTAL(109,Tabela14[14-mar])</f>
        <v>0</v>
      </c>
      <c r="Y28" s="159">
        <f>SUBTOTAL(109,Tabela14[15-mar])</f>
        <v>0</v>
      </c>
      <c r="Z28" s="159">
        <f>SUBTOTAL(109,Tabela14[16-mar])</f>
        <v>0</v>
      </c>
      <c r="AA28" s="159">
        <f>SUBTOTAL(109,Tabela14[17-mar])</f>
        <v>0</v>
      </c>
      <c r="AB28" s="159">
        <f>SUBTOTAL(109,Tabela14[18-mar])</f>
        <v>0</v>
      </c>
      <c r="AC28" s="159">
        <f>SUBTOTAL(109,Tabela14[19-mar])</f>
        <v>0</v>
      </c>
      <c r="AD28" s="159">
        <f>SUBTOTAL(109,Tabela14[20-mar])</f>
        <v>0</v>
      </c>
      <c r="AE28" s="159">
        <f>SUBTOTAL(109,Tabela14[21-mar])</f>
        <v>0</v>
      </c>
      <c r="AF28" s="159">
        <f>SUBTOTAL(109,Tabela14[22-mar])</f>
        <v>0</v>
      </c>
      <c r="AG28" s="159">
        <f>SUBTOTAL(109,Tabela14[23-mar])</f>
        <v>0</v>
      </c>
      <c r="AH28" s="159">
        <f>SUBTOTAL(109,Tabela14[24-mar])</f>
        <v>0</v>
      </c>
      <c r="AI28" s="159">
        <f>SUBTOTAL(109,Tabela14[25-mar])</f>
        <v>0</v>
      </c>
      <c r="AJ28" s="159">
        <f>SUBTOTAL(109,Tabela14[26-mar])</f>
        <v>0</v>
      </c>
      <c r="AK28" s="159">
        <f>SUBTOTAL(109,Tabela14[27-mar])</f>
        <v>0</v>
      </c>
      <c r="AL28" s="159">
        <f>SUBTOTAL(109,Tabela14[28-mar])</f>
        <v>0</v>
      </c>
      <c r="AM28" s="159">
        <f>SUBTOTAL(109,Tabela14[29-mar])</f>
        <v>0</v>
      </c>
      <c r="AN28" s="159">
        <f>SUBTOTAL(109,Tabela14[30-mar])</f>
        <v>0</v>
      </c>
      <c r="AO28" s="159">
        <f>SUBTOTAL(109,Tabela14[31-mar])</f>
        <v>0</v>
      </c>
    </row>
    <row r="30" spans="1:41" x14ac:dyDescent="0.25">
      <c r="B30" s="188"/>
      <c r="C30" s="188"/>
    </row>
    <row r="31" spans="1:41" x14ac:dyDescent="0.25">
      <c r="B31" s="188"/>
      <c r="C31" s="188"/>
    </row>
  </sheetData>
  <sheetProtection algorithmName="SHA-512" hashValue="gyRqKGQaZ8ZyOsJr45xGwR7xHR6sNdRopXf467kTv6SozcqE3t7OwGocuKjptY1JCtBPODW7tG3OSfmRQaBZIA==" saltValue="SLqD3b0DnkNlHXgs/1qKFQ==" spinCount="100000" sheet="1" objects="1" scenarios="1"/>
  <mergeCells count="49">
    <mergeCell ref="C15:F15"/>
    <mergeCell ref="K8:K9"/>
    <mergeCell ref="C25:F25"/>
    <mergeCell ref="G25:J25"/>
    <mergeCell ref="C16:F16"/>
    <mergeCell ref="G16:J16"/>
    <mergeCell ref="C17:F17"/>
    <mergeCell ref="G17:J17"/>
    <mergeCell ref="G8:G9"/>
    <mergeCell ref="H8:H9"/>
    <mergeCell ref="J8:J9"/>
    <mergeCell ref="G18:J18"/>
    <mergeCell ref="C13:F13"/>
    <mergeCell ref="G13:J13"/>
    <mergeCell ref="C14:F14"/>
    <mergeCell ref="G19:J19"/>
    <mergeCell ref="C20:F20"/>
    <mergeCell ref="G20:J20"/>
    <mergeCell ref="C21:F21"/>
    <mergeCell ref="G21:J21"/>
    <mergeCell ref="O7:Q7"/>
    <mergeCell ref="O8:Q9"/>
    <mergeCell ref="B11:F11"/>
    <mergeCell ref="G11:J11"/>
    <mergeCell ref="C12:F12"/>
    <mergeCell ref="G12:J12"/>
    <mergeCell ref="B8:B9"/>
    <mergeCell ref="C8:C9"/>
    <mergeCell ref="D8:D9"/>
    <mergeCell ref="E8:E9"/>
    <mergeCell ref="L8:L9"/>
    <mergeCell ref="M8:M9"/>
    <mergeCell ref="I8:I9"/>
    <mergeCell ref="F8:F9"/>
    <mergeCell ref="G14:J14"/>
    <mergeCell ref="C18:F18"/>
    <mergeCell ref="G15:J15"/>
    <mergeCell ref="B30:C31"/>
    <mergeCell ref="C27:F27"/>
    <mergeCell ref="G27:J27"/>
    <mergeCell ref="C22:F22"/>
    <mergeCell ref="G22:J22"/>
    <mergeCell ref="C23:F23"/>
    <mergeCell ref="G23:J23"/>
    <mergeCell ref="C24:F24"/>
    <mergeCell ref="G24:J24"/>
    <mergeCell ref="C26:F26"/>
    <mergeCell ref="G26:J26"/>
    <mergeCell ref="C19:F19"/>
  </mergeCells>
  <conditionalFormatting sqref="K12:AO27">
    <cfRule type="containsText" dxfId="81" priority="3" operator="containsText" text="não">
      <formula>NOT(ISERROR(SEARCH("não",K12)))</formula>
    </cfRule>
    <cfRule type="containsText" dxfId="80" priority="4" operator="containsText" text="sim">
      <formula>NOT(ISERROR(SEARCH("sim",K12)))</formula>
    </cfRule>
  </conditionalFormatting>
  <conditionalFormatting sqref="G12:J2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{50002137-4C6C-44C6-9B04-29C4CE5358F1}</x14:id>
        </ext>
      </extLst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{F6BCC56F-CF06-4790-B197-DE28166573A2}</x14:id>
        </ext>
      </extLst>
    </cfRule>
  </conditionalFormatting>
  <dataValidations count="1">
    <dataValidation type="list" allowBlank="1" showInputMessage="1" showErrorMessage="1" sqref="K12:AO27" xr:uid="{00000000-0002-0000-1600-000000000000}">
      <formula1>"Sim,Não,00:30,01:00,01:30,02:00,02:30,03:00,03:30,04:00"</formula1>
    </dataValidation>
  </dataValidations>
  <hyperlinks>
    <hyperlink ref="B8" location="Desempenho!A1" display="janeiro" xr:uid="{00000000-0004-0000-1600-000000000000}"/>
    <hyperlink ref="C8" location="fev!A1" display="Fevereiro" xr:uid="{00000000-0004-0000-1600-000001000000}"/>
    <hyperlink ref="D8" location="mar!A1" display="Março" xr:uid="{00000000-0004-0000-1600-000002000000}"/>
    <hyperlink ref="E8" location="abr!A1" display="Abril" xr:uid="{00000000-0004-0000-1600-000003000000}"/>
    <hyperlink ref="F8" location="maio!A1" display="Maio" xr:uid="{00000000-0004-0000-1600-000004000000}"/>
    <hyperlink ref="G8" location="jun!A1" display="Junho" xr:uid="{00000000-0004-0000-1600-000005000000}"/>
    <hyperlink ref="H8" location="jul!A1" display="Julho" xr:uid="{00000000-0004-0000-1600-000006000000}"/>
    <hyperlink ref="I8" location="ago!A1" display="Agosto" xr:uid="{00000000-0004-0000-1600-000007000000}"/>
    <hyperlink ref="J8" location="set!A1" display="Setembro" xr:uid="{00000000-0004-0000-1600-000008000000}"/>
    <hyperlink ref="K8" location="out!A1" display="Outubro" xr:uid="{00000000-0004-0000-1600-000009000000}"/>
    <hyperlink ref="L8" location="nov!A1" display="Novembro" xr:uid="{00000000-0004-0000-1600-00000A000000}"/>
    <hyperlink ref="M8" location="dez!A1" display="Dezembro" xr:uid="{00000000-0004-0000-1600-00000B000000}"/>
  </hyperlink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0002137-4C6C-44C6-9B04-29C4CE5358F1}">
            <x14:dataBar minLength="0" maxLength="100" gradient="0">
              <x14:cfvo type="autoMin"/>
              <x14:cfvo type="autoMax"/>
              <x14:negativeFillColor rgb="FFFF0000"/>
              <x14:axisColor theme="0"/>
            </x14:dataBar>
          </x14:cfRule>
          <x14:cfRule type="dataBar" id="{F6BCC56F-CF06-4790-B197-DE28166573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G12:J27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24"/>
  <dimension ref="A1:AN31"/>
  <sheetViews>
    <sheetView showGridLines="0" workbookViewId="0">
      <pane ySplit="4" topLeftCell="A5" activePane="bottomLeft" state="frozen"/>
      <selection activeCell="A5" sqref="A5"/>
      <selection pane="bottomLeft" activeCell="F8" sqref="F8:F9"/>
    </sheetView>
  </sheetViews>
  <sheetFormatPr defaultRowHeight="15" x14ac:dyDescent="0.25"/>
  <cols>
    <col min="1" max="1" width="3.85546875" style="18" customWidth="1"/>
    <col min="2" max="2" width="8.140625" style="18" bestFit="1" customWidth="1"/>
    <col min="3" max="3" width="10.5703125" style="18" bestFit="1" customWidth="1"/>
    <col min="4" max="4" width="7.5703125" style="18" bestFit="1" customWidth="1"/>
    <col min="5" max="5" width="6.140625" style="18" bestFit="1" customWidth="1"/>
    <col min="6" max="6" width="6.28515625" style="18" bestFit="1" customWidth="1"/>
    <col min="7" max="7" width="7.42578125" style="18" bestFit="1" customWidth="1"/>
    <col min="8" max="8" width="6.7109375" style="18" bestFit="1" customWidth="1"/>
    <col min="9" max="9" width="8.5703125" style="18" bestFit="1" customWidth="1"/>
    <col min="10" max="10" width="11" style="18" bestFit="1" customWidth="1"/>
    <col min="11" max="11" width="9.7109375" style="18" bestFit="1" customWidth="1"/>
    <col min="12" max="12" width="12" style="18" bestFit="1" customWidth="1"/>
    <col min="13" max="13" width="11.5703125" style="18" bestFit="1" customWidth="1"/>
    <col min="14" max="16384" width="9.140625" style="18"/>
  </cols>
  <sheetData>
    <row r="1" spans="1:40" s="44" customFormat="1" x14ac:dyDescent="0.25"/>
    <row r="2" spans="1:40" s="44" customFormat="1" x14ac:dyDescent="0.25"/>
    <row r="3" spans="1:40" s="44" customFormat="1" x14ac:dyDescent="0.25"/>
    <row r="4" spans="1:40" s="44" customFormat="1" x14ac:dyDescent="0.25"/>
    <row r="5" spans="1:40" s="67" customFormat="1" ht="3.95" customHeight="1" x14ac:dyDescent="0.25"/>
    <row r="6" spans="1:40" ht="15" customHeight="1" x14ac:dyDescent="0.25"/>
    <row r="7" spans="1:40" ht="15" customHeight="1" x14ac:dyDescent="0.25">
      <c r="O7" s="246" t="s">
        <v>36</v>
      </c>
      <c r="P7" s="246"/>
      <c r="Q7" s="246"/>
    </row>
    <row r="8" spans="1:40" ht="15" customHeight="1" x14ac:dyDescent="0.25">
      <c r="A8" s="1"/>
      <c r="B8" s="197" t="s">
        <v>133</v>
      </c>
      <c r="C8" s="197" t="s">
        <v>25</v>
      </c>
      <c r="D8" s="197" t="s">
        <v>26</v>
      </c>
      <c r="E8" s="197" t="s">
        <v>27</v>
      </c>
      <c r="F8" s="197" t="s">
        <v>28</v>
      </c>
      <c r="G8" s="197" t="s">
        <v>29</v>
      </c>
      <c r="H8" s="197" t="s">
        <v>30</v>
      </c>
      <c r="I8" s="197" t="s">
        <v>31</v>
      </c>
      <c r="J8" s="197" t="s">
        <v>32</v>
      </c>
      <c r="K8" s="197" t="s">
        <v>33</v>
      </c>
      <c r="L8" s="197" t="s">
        <v>34</v>
      </c>
      <c r="M8" s="197" t="s">
        <v>35</v>
      </c>
      <c r="N8" s="47"/>
      <c r="O8" s="196">
        <f>SUM(G12:J27)</f>
        <v>0</v>
      </c>
      <c r="P8" s="196"/>
      <c r="Q8" s="196"/>
    </row>
    <row r="9" spans="1:40" ht="15" customHeight="1" x14ac:dyDescent="0.25">
      <c r="A9" s="1"/>
      <c r="B9" s="197"/>
      <c r="C9" s="197"/>
      <c r="D9" s="197"/>
      <c r="E9" s="197"/>
      <c r="F9" s="197"/>
      <c r="G9" s="197"/>
      <c r="H9" s="197"/>
      <c r="I9" s="197"/>
      <c r="J9" s="197"/>
      <c r="K9" s="197"/>
      <c r="L9" s="197"/>
      <c r="M9" s="197"/>
      <c r="O9" s="196"/>
      <c r="P9" s="196"/>
      <c r="Q9" s="196"/>
    </row>
    <row r="10" spans="1:40" ht="15" customHeight="1" x14ac:dyDescent="0.25">
      <c r="O10" s="45"/>
      <c r="P10" s="45"/>
      <c r="Q10" s="45"/>
    </row>
    <row r="11" spans="1:40" ht="20.25" x14ac:dyDescent="0.25">
      <c r="A11" s="19"/>
      <c r="B11" s="198" t="s">
        <v>134</v>
      </c>
      <c r="C11" s="198"/>
      <c r="D11" s="198"/>
      <c r="E11" s="198"/>
      <c r="F11" s="198"/>
      <c r="G11" s="195" t="s">
        <v>37</v>
      </c>
      <c r="H11" s="195"/>
      <c r="I11" s="195"/>
      <c r="J11" s="195"/>
      <c r="K11" s="21" t="s">
        <v>202</v>
      </c>
      <c r="L11" s="21" t="s">
        <v>203</v>
      </c>
      <c r="M11" s="21" t="s">
        <v>204</v>
      </c>
      <c r="N11" s="21" t="s">
        <v>205</v>
      </c>
      <c r="O11" s="21" t="s">
        <v>206</v>
      </c>
      <c r="P11" s="21" t="s">
        <v>207</v>
      </c>
      <c r="Q11" s="21" t="s">
        <v>208</v>
      </c>
      <c r="R11" s="21" t="s">
        <v>209</v>
      </c>
      <c r="S11" s="21" t="s">
        <v>210</v>
      </c>
      <c r="T11" s="21" t="s">
        <v>211</v>
      </c>
      <c r="U11" s="21" t="s">
        <v>212</v>
      </c>
      <c r="V11" s="21" t="s">
        <v>213</v>
      </c>
      <c r="W11" s="21" t="s">
        <v>214</v>
      </c>
      <c r="X11" s="21" t="s">
        <v>215</v>
      </c>
      <c r="Y11" s="21" t="s">
        <v>216</v>
      </c>
      <c r="Z11" s="21" t="s">
        <v>217</v>
      </c>
      <c r="AA11" s="21" t="s">
        <v>218</v>
      </c>
      <c r="AB11" s="21" t="s">
        <v>219</v>
      </c>
      <c r="AC11" s="21" t="s">
        <v>220</v>
      </c>
      <c r="AD11" s="21" t="s">
        <v>221</v>
      </c>
      <c r="AE11" s="21" t="s">
        <v>222</v>
      </c>
      <c r="AF11" s="21" t="s">
        <v>223</v>
      </c>
      <c r="AG11" s="21" t="s">
        <v>224</v>
      </c>
      <c r="AH11" s="21" t="s">
        <v>225</v>
      </c>
      <c r="AI11" s="21" t="s">
        <v>226</v>
      </c>
      <c r="AJ11" s="21" t="s">
        <v>227</v>
      </c>
      <c r="AK11" s="21" t="s">
        <v>228</v>
      </c>
      <c r="AL11" s="21" t="s">
        <v>229</v>
      </c>
      <c r="AM11" s="21" t="s">
        <v>230</v>
      </c>
      <c r="AN11" s="21" t="s">
        <v>231</v>
      </c>
    </row>
    <row r="12" spans="1:40" ht="26.1" customHeight="1" thickBot="1" x14ac:dyDescent="0.3">
      <c r="A12" s="1" t="s">
        <v>89</v>
      </c>
      <c r="B12" s="16">
        <v>1</v>
      </c>
      <c r="C12" s="199" t="str">
        <f>VLOOKUP(B12,Começo!A:D,3,0)</f>
        <v>Português</v>
      </c>
      <c r="D12" s="199"/>
      <c r="E12" s="199"/>
      <c r="F12" s="199"/>
      <c r="G12" s="194">
        <f>IFERROR(COUNTIF(Tabela15[#This Row],"sim"),"")*Começo!D14+SUM(Tabela15[#This Row])</f>
        <v>0</v>
      </c>
      <c r="H12" s="194"/>
      <c r="I12" s="194"/>
      <c r="J12" s="194"/>
      <c r="K12" s="158" t="s">
        <v>92</v>
      </c>
      <c r="L12" s="158" t="s">
        <v>92</v>
      </c>
      <c r="M12" s="158" t="s">
        <v>92</v>
      </c>
      <c r="N12" s="158" t="s">
        <v>92</v>
      </c>
      <c r="O12" s="158" t="s">
        <v>92</v>
      </c>
      <c r="P12" s="158" t="s">
        <v>92</v>
      </c>
      <c r="Q12" s="158" t="s">
        <v>92</v>
      </c>
      <c r="R12" s="158" t="s">
        <v>92</v>
      </c>
      <c r="S12" s="158" t="s">
        <v>92</v>
      </c>
      <c r="T12" s="158" t="s">
        <v>92</v>
      </c>
      <c r="U12" s="158" t="s">
        <v>92</v>
      </c>
      <c r="V12" s="158" t="s">
        <v>92</v>
      </c>
      <c r="W12" s="158" t="s">
        <v>92</v>
      </c>
      <c r="X12" s="158" t="s">
        <v>92</v>
      </c>
      <c r="Y12" s="158" t="s">
        <v>92</v>
      </c>
      <c r="Z12" s="158" t="s">
        <v>92</v>
      </c>
      <c r="AA12" s="158" t="s">
        <v>92</v>
      </c>
      <c r="AB12" s="158" t="s">
        <v>92</v>
      </c>
      <c r="AC12" s="158" t="s">
        <v>92</v>
      </c>
      <c r="AD12" s="158" t="s">
        <v>92</v>
      </c>
      <c r="AE12" s="158" t="s">
        <v>92</v>
      </c>
      <c r="AF12" s="158" t="s">
        <v>92</v>
      </c>
      <c r="AG12" s="158" t="s">
        <v>92</v>
      </c>
      <c r="AH12" s="158" t="s">
        <v>92</v>
      </c>
      <c r="AI12" s="158" t="s">
        <v>92</v>
      </c>
      <c r="AJ12" s="158" t="s">
        <v>92</v>
      </c>
      <c r="AK12" s="158" t="s">
        <v>92</v>
      </c>
      <c r="AL12" s="158" t="s">
        <v>92</v>
      </c>
      <c r="AM12" s="158" t="s">
        <v>92</v>
      </c>
      <c r="AN12" s="158" t="s">
        <v>92</v>
      </c>
    </row>
    <row r="13" spans="1:40" ht="26.1" customHeight="1" thickBot="1" x14ac:dyDescent="0.3">
      <c r="A13" s="1" t="s">
        <v>89</v>
      </c>
      <c r="B13" s="17">
        <v>2</v>
      </c>
      <c r="C13" s="199" t="str">
        <f>VLOOKUP(B13,Começo!A:D,3,0)</f>
        <v>Matemática</v>
      </c>
      <c r="D13" s="199"/>
      <c r="E13" s="199"/>
      <c r="F13" s="199"/>
      <c r="G13" s="194">
        <f>IFERROR(COUNTIF(Tabela15[#This Row],"sim"),"")*Começo!D15+SUM(Tabela15[#This Row])</f>
        <v>0</v>
      </c>
      <c r="H13" s="194"/>
      <c r="I13" s="194"/>
      <c r="J13" s="194"/>
      <c r="K13" s="158" t="s">
        <v>92</v>
      </c>
      <c r="L13" s="158" t="s">
        <v>92</v>
      </c>
      <c r="M13" s="158" t="s">
        <v>92</v>
      </c>
      <c r="N13" s="158" t="s">
        <v>92</v>
      </c>
      <c r="O13" s="158" t="s">
        <v>92</v>
      </c>
      <c r="P13" s="158" t="s">
        <v>92</v>
      </c>
      <c r="Q13" s="158" t="s">
        <v>92</v>
      </c>
      <c r="R13" s="158" t="s">
        <v>92</v>
      </c>
      <c r="S13" s="158" t="s">
        <v>92</v>
      </c>
      <c r="T13" s="158" t="s">
        <v>92</v>
      </c>
      <c r="U13" s="158" t="s">
        <v>92</v>
      </c>
      <c r="V13" s="158" t="s">
        <v>92</v>
      </c>
      <c r="W13" s="158" t="s">
        <v>92</v>
      </c>
      <c r="X13" s="158" t="s">
        <v>92</v>
      </c>
      <c r="Y13" s="158" t="s">
        <v>92</v>
      </c>
      <c r="Z13" s="158" t="s">
        <v>92</v>
      </c>
      <c r="AA13" s="158" t="s">
        <v>92</v>
      </c>
      <c r="AB13" s="158" t="s">
        <v>92</v>
      </c>
      <c r="AC13" s="158" t="s">
        <v>92</v>
      </c>
      <c r="AD13" s="158" t="s">
        <v>92</v>
      </c>
      <c r="AE13" s="158" t="s">
        <v>92</v>
      </c>
      <c r="AF13" s="158" t="s">
        <v>92</v>
      </c>
      <c r="AG13" s="158" t="s">
        <v>92</v>
      </c>
      <c r="AH13" s="158" t="s">
        <v>92</v>
      </c>
      <c r="AI13" s="158" t="s">
        <v>92</v>
      </c>
      <c r="AJ13" s="158" t="s">
        <v>92</v>
      </c>
      <c r="AK13" s="158" t="s">
        <v>92</v>
      </c>
      <c r="AL13" s="158" t="s">
        <v>92</v>
      </c>
      <c r="AM13" s="158" t="s">
        <v>92</v>
      </c>
      <c r="AN13" s="158" t="s">
        <v>92</v>
      </c>
    </row>
    <row r="14" spans="1:40" ht="26.1" customHeight="1" thickBot="1" x14ac:dyDescent="0.3">
      <c r="A14" s="1" t="s">
        <v>89</v>
      </c>
      <c r="B14" s="17">
        <v>3</v>
      </c>
      <c r="C14" s="199" t="str">
        <f>VLOOKUP(B14,Começo!A:D,3,0)</f>
        <v>História</v>
      </c>
      <c r="D14" s="199"/>
      <c r="E14" s="199"/>
      <c r="F14" s="199"/>
      <c r="G14" s="194">
        <f>IFERROR(COUNTIF(Tabela15[#This Row],"sim"),"")*Começo!D16+SUM(Tabela15[#This Row])</f>
        <v>0</v>
      </c>
      <c r="H14" s="194"/>
      <c r="I14" s="194"/>
      <c r="J14" s="194"/>
      <c r="K14" s="158" t="s">
        <v>92</v>
      </c>
      <c r="L14" s="158" t="s">
        <v>92</v>
      </c>
      <c r="M14" s="158" t="s">
        <v>92</v>
      </c>
      <c r="N14" s="158" t="s">
        <v>92</v>
      </c>
      <c r="O14" s="158" t="s">
        <v>92</v>
      </c>
      <c r="P14" s="158" t="s">
        <v>92</v>
      </c>
      <c r="Q14" s="158" t="s">
        <v>92</v>
      </c>
      <c r="R14" s="158" t="s">
        <v>92</v>
      </c>
      <c r="S14" s="158" t="s">
        <v>92</v>
      </c>
      <c r="T14" s="158" t="s">
        <v>92</v>
      </c>
      <c r="U14" s="158" t="s">
        <v>92</v>
      </c>
      <c r="V14" s="158" t="s">
        <v>92</v>
      </c>
      <c r="W14" s="158" t="s">
        <v>92</v>
      </c>
      <c r="X14" s="158" t="s">
        <v>92</v>
      </c>
      <c r="Y14" s="158" t="s">
        <v>92</v>
      </c>
      <c r="Z14" s="158" t="s">
        <v>92</v>
      </c>
      <c r="AA14" s="158" t="s">
        <v>92</v>
      </c>
      <c r="AB14" s="158" t="s">
        <v>92</v>
      </c>
      <c r="AC14" s="158" t="s">
        <v>92</v>
      </c>
      <c r="AD14" s="158" t="s">
        <v>92</v>
      </c>
      <c r="AE14" s="158" t="s">
        <v>92</v>
      </c>
      <c r="AF14" s="158" t="s">
        <v>92</v>
      </c>
      <c r="AG14" s="158" t="s">
        <v>92</v>
      </c>
      <c r="AH14" s="158" t="s">
        <v>92</v>
      </c>
      <c r="AI14" s="158" t="s">
        <v>92</v>
      </c>
      <c r="AJ14" s="158" t="s">
        <v>92</v>
      </c>
      <c r="AK14" s="158" t="s">
        <v>92</v>
      </c>
      <c r="AL14" s="158" t="s">
        <v>92</v>
      </c>
      <c r="AM14" s="158" t="s">
        <v>92</v>
      </c>
      <c r="AN14" s="158" t="s">
        <v>92</v>
      </c>
    </row>
    <row r="15" spans="1:40" ht="26.1" customHeight="1" thickBot="1" x14ac:dyDescent="0.3">
      <c r="A15" s="1" t="s">
        <v>89</v>
      </c>
      <c r="B15" s="17">
        <v>4</v>
      </c>
      <c r="C15" s="199" t="str">
        <f>VLOOKUP(B15,Começo!A:D,3,0)</f>
        <v>Física</v>
      </c>
      <c r="D15" s="199"/>
      <c r="E15" s="199"/>
      <c r="F15" s="199"/>
      <c r="G15" s="194">
        <f>IFERROR(COUNTIF(Tabela15[#This Row],"sim"),"")*Começo!D17+SUM(Tabela15[#This Row])</f>
        <v>0</v>
      </c>
      <c r="H15" s="194"/>
      <c r="I15" s="194"/>
      <c r="J15" s="194"/>
      <c r="K15" s="158" t="s">
        <v>92</v>
      </c>
      <c r="L15" s="158" t="s">
        <v>92</v>
      </c>
      <c r="M15" s="158" t="s">
        <v>92</v>
      </c>
      <c r="N15" s="158" t="s">
        <v>92</v>
      </c>
      <c r="O15" s="158" t="s">
        <v>92</v>
      </c>
      <c r="P15" s="158" t="s">
        <v>92</v>
      </c>
      <c r="Q15" s="158" t="s">
        <v>92</v>
      </c>
      <c r="R15" s="158" t="s">
        <v>92</v>
      </c>
      <c r="S15" s="158" t="s">
        <v>92</v>
      </c>
      <c r="T15" s="158" t="s">
        <v>92</v>
      </c>
      <c r="U15" s="158" t="s">
        <v>92</v>
      </c>
      <c r="V15" s="158" t="s">
        <v>92</v>
      </c>
      <c r="W15" s="158" t="s">
        <v>92</v>
      </c>
      <c r="X15" s="158" t="s">
        <v>92</v>
      </c>
      <c r="Y15" s="158" t="s">
        <v>92</v>
      </c>
      <c r="Z15" s="158" t="s">
        <v>92</v>
      </c>
      <c r="AA15" s="158" t="s">
        <v>92</v>
      </c>
      <c r="AB15" s="158" t="s">
        <v>92</v>
      </c>
      <c r="AC15" s="158" t="s">
        <v>92</v>
      </c>
      <c r="AD15" s="158" t="s">
        <v>92</v>
      </c>
      <c r="AE15" s="158" t="s">
        <v>92</v>
      </c>
      <c r="AF15" s="158" t="s">
        <v>92</v>
      </c>
      <c r="AG15" s="158" t="s">
        <v>92</v>
      </c>
      <c r="AH15" s="158" t="s">
        <v>92</v>
      </c>
      <c r="AI15" s="158" t="s">
        <v>92</v>
      </c>
      <c r="AJ15" s="158" t="s">
        <v>92</v>
      </c>
      <c r="AK15" s="158" t="s">
        <v>92</v>
      </c>
      <c r="AL15" s="158" t="s">
        <v>92</v>
      </c>
      <c r="AM15" s="158" t="s">
        <v>92</v>
      </c>
      <c r="AN15" s="158" t="s">
        <v>92</v>
      </c>
    </row>
    <row r="16" spans="1:40" ht="26.1" customHeight="1" thickBot="1" x14ac:dyDescent="0.3">
      <c r="A16" s="1" t="s">
        <v>89</v>
      </c>
      <c r="B16" s="17">
        <v>5</v>
      </c>
      <c r="C16" s="199" t="str">
        <f>VLOOKUP(B16,Começo!A:D,3,0)</f>
        <v>Quimíca</v>
      </c>
      <c r="D16" s="199"/>
      <c r="E16" s="199"/>
      <c r="F16" s="199"/>
      <c r="G16" s="194">
        <f>IFERROR(COUNTIF(Tabela15[#This Row],"sim"),"")*Começo!D18+SUM(Tabela15[#This Row])</f>
        <v>0</v>
      </c>
      <c r="H16" s="194"/>
      <c r="I16" s="194"/>
      <c r="J16" s="194"/>
      <c r="K16" s="158" t="s">
        <v>92</v>
      </c>
      <c r="L16" s="158" t="s">
        <v>92</v>
      </c>
      <c r="M16" s="158" t="s">
        <v>92</v>
      </c>
      <c r="N16" s="158" t="s">
        <v>92</v>
      </c>
      <c r="O16" s="158" t="s">
        <v>92</v>
      </c>
      <c r="P16" s="158" t="s">
        <v>92</v>
      </c>
      <c r="Q16" s="158" t="s">
        <v>92</v>
      </c>
      <c r="R16" s="158" t="s">
        <v>92</v>
      </c>
      <c r="S16" s="158" t="s">
        <v>92</v>
      </c>
      <c r="T16" s="158" t="s">
        <v>92</v>
      </c>
      <c r="U16" s="158" t="s">
        <v>92</v>
      </c>
      <c r="V16" s="158" t="s">
        <v>92</v>
      </c>
      <c r="W16" s="158" t="s">
        <v>92</v>
      </c>
      <c r="X16" s="158" t="s">
        <v>92</v>
      </c>
      <c r="Y16" s="158" t="s">
        <v>92</v>
      </c>
      <c r="Z16" s="158" t="s">
        <v>92</v>
      </c>
      <c r="AA16" s="158" t="s">
        <v>92</v>
      </c>
      <c r="AB16" s="158" t="s">
        <v>92</v>
      </c>
      <c r="AC16" s="158" t="s">
        <v>92</v>
      </c>
      <c r="AD16" s="158" t="s">
        <v>92</v>
      </c>
      <c r="AE16" s="158" t="s">
        <v>92</v>
      </c>
      <c r="AF16" s="158" t="s">
        <v>92</v>
      </c>
      <c r="AG16" s="158" t="s">
        <v>92</v>
      </c>
      <c r="AH16" s="158" t="s">
        <v>92</v>
      </c>
      <c r="AI16" s="158" t="s">
        <v>92</v>
      </c>
      <c r="AJ16" s="158" t="s">
        <v>92</v>
      </c>
      <c r="AK16" s="158" t="s">
        <v>92</v>
      </c>
      <c r="AL16" s="158" t="s">
        <v>92</v>
      </c>
      <c r="AM16" s="158" t="s">
        <v>92</v>
      </c>
      <c r="AN16" s="158" t="s">
        <v>92</v>
      </c>
    </row>
    <row r="17" spans="1:40" ht="26.1" customHeight="1" thickBot="1" x14ac:dyDescent="0.3">
      <c r="A17" s="1" t="s">
        <v>89</v>
      </c>
      <c r="B17" s="17">
        <v>6</v>
      </c>
      <c r="C17" s="199" t="str">
        <f>VLOOKUP(B17,Começo!A:D,3,0)</f>
        <v>Legislação</v>
      </c>
      <c r="D17" s="199"/>
      <c r="E17" s="199"/>
      <c r="F17" s="199"/>
      <c r="G17" s="194">
        <f>IFERROR(COUNTIF(Tabela15[#This Row],"sim"),"")*Começo!D19+SUM(Tabela15[#This Row])</f>
        <v>0</v>
      </c>
      <c r="H17" s="194"/>
      <c r="I17" s="194"/>
      <c r="J17" s="194"/>
      <c r="K17" s="158" t="s">
        <v>92</v>
      </c>
      <c r="L17" s="158" t="s">
        <v>92</v>
      </c>
      <c r="M17" s="158" t="s">
        <v>92</v>
      </c>
      <c r="N17" s="158" t="s">
        <v>92</v>
      </c>
      <c r="O17" s="158" t="s">
        <v>92</v>
      </c>
      <c r="P17" s="158" t="s">
        <v>92</v>
      </c>
      <c r="Q17" s="158" t="s">
        <v>92</v>
      </c>
      <c r="R17" s="158" t="s">
        <v>92</v>
      </c>
      <c r="S17" s="158" t="s">
        <v>92</v>
      </c>
      <c r="T17" s="158" t="s">
        <v>92</v>
      </c>
      <c r="U17" s="158" t="s">
        <v>92</v>
      </c>
      <c r="V17" s="158" t="s">
        <v>92</v>
      </c>
      <c r="W17" s="158" t="s">
        <v>92</v>
      </c>
      <c r="X17" s="158" t="s">
        <v>92</v>
      </c>
      <c r="Y17" s="158" t="s">
        <v>92</v>
      </c>
      <c r="Z17" s="158" t="s">
        <v>92</v>
      </c>
      <c r="AA17" s="158" t="s">
        <v>92</v>
      </c>
      <c r="AB17" s="158" t="s">
        <v>92</v>
      </c>
      <c r="AC17" s="158" t="s">
        <v>92</v>
      </c>
      <c r="AD17" s="158" t="s">
        <v>92</v>
      </c>
      <c r="AE17" s="158" t="s">
        <v>92</v>
      </c>
      <c r="AF17" s="158" t="s">
        <v>92</v>
      </c>
      <c r="AG17" s="158" t="s">
        <v>92</v>
      </c>
      <c r="AH17" s="158" t="s">
        <v>92</v>
      </c>
      <c r="AI17" s="158" t="s">
        <v>92</v>
      </c>
      <c r="AJ17" s="158" t="s">
        <v>92</v>
      </c>
      <c r="AK17" s="158" t="s">
        <v>92</v>
      </c>
      <c r="AL17" s="158" t="s">
        <v>92</v>
      </c>
      <c r="AM17" s="158" t="s">
        <v>92</v>
      </c>
      <c r="AN17" s="158" t="s">
        <v>92</v>
      </c>
    </row>
    <row r="18" spans="1:40" ht="26.1" customHeight="1" thickBot="1" x14ac:dyDescent="0.3">
      <c r="A18" s="1" t="s">
        <v>89</v>
      </c>
      <c r="B18" s="17">
        <v>7</v>
      </c>
      <c r="C18" s="199" t="str">
        <f>VLOOKUP(B18,Começo!A:D,3,0)</f>
        <v>Processo Penal</v>
      </c>
      <c r="D18" s="199"/>
      <c r="E18" s="199"/>
      <c r="F18" s="199"/>
      <c r="G18" s="194">
        <f>IFERROR(COUNTIF(Tabela15[#This Row],"sim"),"")*Começo!D20+SUM(Tabela15[#This Row])</f>
        <v>0</v>
      </c>
      <c r="H18" s="194"/>
      <c r="I18" s="194"/>
      <c r="J18" s="194"/>
      <c r="K18" s="158" t="s">
        <v>92</v>
      </c>
      <c r="L18" s="158" t="s">
        <v>92</v>
      </c>
      <c r="M18" s="158" t="s">
        <v>92</v>
      </c>
      <c r="N18" s="158" t="s">
        <v>92</v>
      </c>
      <c r="O18" s="158" t="s">
        <v>92</v>
      </c>
      <c r="P18" s="158" t="s">
        <v>92</v>
      </c>
      <c r="Q18" s="158" t="s">
        <v>92</v>
      </c>
      <c r="R18" s="158" t="s">
        <v>92</v>
      </c>
      <c r="S18" s="158" t="s">
        <v>92</v>
      </c>
      <c r="T18" s="158" t="s">
        <v>92</v>
      </c>
      <c r="U18" s="158" t="s">
        <v>92</v>
      </c>
      <c r="V18" s="158" t="s">
        <v>92</v>
      </c>
      <c r="W18" s="158" t="s">
        <v>92</v>
      </c>
      <c r="X18" s="158" t="s">
        <v>92</v>
      </c>
      <c r="Y18" s="158" t="s">
        <v>92</v>
      </c>
      <c r="Z18" s="158" t="s">
        <v>92</v>
      </c>
      <c r="AA18" s="158" t="s">
        <v>92</v>
      </c>
      <c r="AB18" s="158" t="s">
        <v>92</v>
      </c>
      <c r="AC18" s="158" t="s">
        <v>92</v>
      </c>
      <c r="AD18" s="158" t="s">
        <v>92</v>
      </c>
      <c r="AE18" s="158" t="s">
        <v>92</v>
      </c>
      <c r="AF18" s="158" t="s">
        <v>92</v>
      </c>
      <c r="AG18" s="158" t="s">
        <v>92</v>
      </c>
      <c r="AH18" s="158" t="s">
        <v>92</v>
      </c>
      <c r="AI18" s="158" t="s">
        <v>92</v>
      </c>
      <c r="AJ18" s="158" t="s">
        <v>92</v>
      </c>
      <c r="AK18" s="158" t="s">
        <v>92</v>
      </c>
      <c r="AL18" s="158" t="s">
        <v>92</v>
      </c>
      <c r="AM18" s="158" t="s">
        <v>92</v>
      </c>
      <c r="AN18" s="158" t="s">
        <v>92</v>
      </c>
    </row>
    <row r="19" spans="1:40" ht="26.1" customHeight="1" thickBot="1" x14ac:dyDescent="0.3">
      <c r="A19" s="1" t="s">
        <v>89</v>
      </c>
      <c r="B19" s="17">
        <v>8</v>
      </c>
      <c r="C19" s="199" t="str">
        <f>VLOOKUP(B19,Começo!A:D,3,0)</f>
        <v>Direito Administrativo</v>
      </c>
      <c r="D19" s="199"/>
      <c r="E19" s="199"/>
      <c r="F19" s="199"/>
      <c r="G19" s="194">
        <f>IFERROR(COUNTIF(Tabela15[#This Row],"sim"),"")*Começo!D21+SUM(Tabela15[#This Row])</f>
        <v>0</v>
      </c>
      <c r="H19" s="194"/>
      <c r="I19" s="194"/>
      <c r="J19" s="194"/>
      <c r="K19" s="158" t="s">
        <v>92</v>
      </c>
      <c r="L19" s="158" t="s">
        <v>92</v>
      </c>
      <c r="M19" s="158" t="s">
        <v>92</v>
      </c>
      <c r="N19" s="158" t="s">
        <v>92</v>
      </c>
      <c r="O19" s="158" t="s">
        <v>92</v>
      </c>
      <c r="P19" s="158" t="s">
        <v>92</v>
      </c>
      <c r="Q19" s="158" t="s">
        <v>92</v>
      </c>
      <c r="R19" s="158" t="s">
        <v>92</v>
      </c>
      <c r="S19" s="158" t="s">
        <v>92</v>
      </c>
      <c r="T19" s="158" t="s">
        <v>92</v>
      </c>
      <c r="U19" s="158" t="s">
        <v>92</v>
      </c>
      <c r="V19" s="158" t="s">
        <v>92</v>
      </c>
      <c r="W19" s="158" t="s">
        <v>92</v>
      </c>
      <c r="X19" s="158" t="s">
        <v>92</v>
      </c>
      <c r="Y19" s="158" t="s">
        <v>92</v>
      </c>
      <c r="Z19" s="158" t="s">
        <v>92</v>
      </c>
      <c r="AA19" s="158" t="s">
        <v>92</v>
      </c>
      <c r="AB19" s="158" t="s">
        <v>92</v>
      </c>
      <c r="AC19" s="158" t="s">
        <v>92</v>
      </c>
      <c r="AD19" s="158" t="s">
        <v>92</v>
      </c>
      <c r="AE19" s="158" t="s">
        <v>92</v>
      </c>
      <c r="AF19" s="158" t="s">
        <v>92</v>
      </c>
      <c r="AG19" s="158" t="s">
        <v>92</v>
      </c>
      <c r="AH19" s="158" t="s">
        <v>92</v>
      </c>
      <c r="AI19" s="158" t="s">
        <v>92</v>
      </c>
      <c r="AJ19" s="158" t="s">
        <v>92</v>
      </c>
      <c r="AK19" s="158" t="s">
        <v>92</v>
      </c>
      <c r="AL19" s="158" t="s">
        <v>92</v>
      </c>
      <c r="AM19" s="158" t="s">
        <v>92</v>
      </c>
      <c r="AN19" s="158" t="s">
        <v>92</v>
      </c>
    </row>
    <row r="20" spans="1:40" ht="26.1" customHeight="1" thickBot="1" x14ac:dyDescent="0.3">
      <c r="A20" s="1" t="s">
        <v>89</v>
      </c>
      <c r="B20" s="17">
        <v>9</v>
      </c>
      <c r="C20" s="199" t="str">
        <f>VLOOKUP(B20,Começo!A:D,3,0)</f>
        <v>Direito Tributário</v>
      </c>
      <c r="D20" s="199"/>
      <c r="E20" s="199"/>
      <c r="F20" s="199"/>
      <c r="G20" s="194">
        <f>IFERROR(COUNTIF(Tabela15[#This Row],"sim"),"")*Começo!D22+SUM(Tabela15[#This Row])</f>
        <v>0</v>
      </c>
      <c r="H20" s="194"/>
      <c r="I20" s="194"/>
      <c r="J20" s="194"/>
      <c r="K20" s="158" t="s">
        <v>92</v>
      </c>
      <c r="L20" s="158" t="s">
        <v>92</v>
      </c>
      <c r="M20" s="158" t="s">
        <v>92</v>
      </c>
      <c r="N20" s="158" t="s">
        <v>92</v>
      </c>
      <c r="O20" s="158" t="s">
        <v>92</v>
      </c>
      <c r="P20" s="158" t="s">
        <v>92</v>
      </c>
      <c r="Q20" s="158" t="s">
        <v>92</v>
      </c>
      <c r="R20" s="158" t="s">
        <v>92</v>
      </c>
      <c r="S20" s="158" t="s">
        <v>92</v>
      </c>
      <c r="T20" s="158" t="s">
        <v>92</v>
      </c>
      <c r="U20" s="158" t="s">
        <v>92</v>
      </c>
      <c r="V20" s="158" t="s">
        <v>92</v>
      </c>
      <c r="W20" s="158" t="s">
        <v>92</v>
      </c>
      <c r="X20" s="158" t="s">
        <v>92</v>
      </c>
      <c r="Y20" s="158" t="s">
        <v>92</v>
      </c>
      <c r="Z20" s="158" t="s">
        <v>92</v>
      </c>
      <c r="AA20" s="158" t="s">
        <v>92</v>
      </c>
      <c r="AB20" s="158" t="s">
        <v>92</v>
      </c>
      <c r="AC20" s="158" t="s">
        <v>92</v>
      </c>
      <c r="AD20" s="158" t="s">
        <v>92</v>
      </c>
      <c r="AE20" s="158" t="s">
        <v>92</v>
      </c>
      <c r="AF20" s="158" t="s">
        <v>92</v>
      </c>
      <c r="AG20" s="158" t="s">
        <v>92</v>
      </c>
      <c r="AH20" s="158" t="s">
        <v>92</v>
      </c>
      <c r="AI20" s="158" t="s">
        <v>92</v>
      </c>
      <c r="AJ20" s="158" t="s">
        <v>92</v>
      </c>
      <c r="AK20" s="158" t="s">
        <v>92</v>
      </c>
      <c r="AL20" s="158" t="s">
        <v>92</v>
      </c>
      <c r="AM20" s="158" t="s">
        <v>92</v>
      </c>
      <c r="AN20" s="158" t="s">
        <v>92</v>
      </c>
    </row>
    <row r="21" spans="1:40" ht="26.1" customHeight="1" thickBot="1" x14ac:dyDescent="0.3">
      <c r="A21" s="1" t="s">
        <v>89</v>
      </c>
      <c r="B21" s="17">
        <v>10</v>
      </c>
      <c r="C21" s="199" t="str">
        <f>VLOOKUP(B21,Começo!A:D,3,0)</f>
        <v>Inglês</v>
      </c>
      <c r="D21" s="199"/>
      <c r="E21" s="199"/>
      <c r="F21" s="199"/>
      <c r="G21" s="194">
        <f>IFERROR(COUNTIF(Tabela15[#This Row],"sim"),"")*Começo!D23+SUM(Tabela15[#This Row])</f>
        <v>0</v>
      </c>
      <c r="H21" s="194"/>
      <c r="I21" s="194"/>
      <c r="J21" s="194"/>
      <c r="K21" s="158" t="s">
        <v>92</v>
      </c>
      <c r="L21" s="158" t="s">
        <v>92</v>
      </c>
      <c r="M21" s="158" t="s">
        <v>92</v>
      </c>
      <c r="N21" s="158" t="s">
        <v>92</v>
      </c>
      <c r="O21" s="158" t="s">
        <v>92</v>
      </c>
      <c r="P21" s="158" t="s">
        <v>92</v>
      </c>
      <c r="Q21" s="158" t="s">
        <v>92</v>
      </c>
      <c r="R21" s="158" t="s">
        <v>92</v>
      </c>
      <c r="S21" s="158" t="s">
        <v>92</v>
      </c>
      <c r="T21" s="158" t="s">
        <v>92</v>
      </c>
      <c r="U21" s="158" t="s">
        <v>92</v>
      </c>
      <c r="V21" s="158" t="s">
        <v>92</v>
      </c>
      <c r="W21" s="158" t="s">
        <v>92</v>
      </c>
      <c r="X21" s="158" t="s">
        <v>92</v>
      </c>
      <c r="Y21" s="158" t="s">
        <v>92</v>
      </c>
      <c r="Z21" s="158" t="s">
        <v>92</v>
      </c>
      <c r="AA21" s="158" t="s">
        <v>92</v>
      </c>
      <c r="AB21" s="158" t="s">
        <v>92</v>
      </c>
      <c r="AC21" s="158" t="s">
        <v>92</v>
      </c>
      <c r="AD21" s="158" t="s">
        <v>92</v>
      </c>
      <c r="AE21" s="158" t="s">
        <v>92</v>
      </c>
      <c r="AF21" s="158" t="s">
        <v>92</v>
      </c>
      <c r="AG21" s="158" t="s">
        <v>92</v>
      </c>
      <c r="AH21" s="158" t="s">
        <v>92</v>
      </c>
      <c r="AI21" s="158" t="s">
        <v>92</v>
      </c>
      <c r="AJ21" s="158" t="s">
        <v>92</v>
      </c>
      <c r="AK21" s="158" t="s">
        <v>92</v>
      </c>
      <c r="AL21" s="158" t="s">
        <v>92</v>
      </c>
      <c r="AM21" s="158" t="s">
        <v>92</v>
      </c>
      <c r="AN21" s="158" t="s">
        <v>92</v>
      </c>
    </row>
    <row r="22" spans="1:40" ht="26.1" customHeight="1" thickBot="1" x14ac:dyDescent="0.3">
      <c r="A22" s="1" t="s">
        <v>89</v>
      </c>
      <c r="B22" s="17">
        <v>11</v>
      </c>
      <c r="C22" s="199" t="str">
        <f>VLOOKUP(B22,Começo!A:D,3,0)</f>
        <v>Análise de Sistemas</v>
      </c>
      <c r="D22" s="199"/>
      <c r="E22" s="199"/>
      <c r="F22" s="199"/>
      <c r="G22" s="194">
        <f>IFERROR(COUNTIF(Tabela15[#This Row],"sim"),"")*Começo!D24+SUM(Tabela15[#This Row])</f>
        <v>0</v>
      </c>
      <c r="H22" s="194"/>
      <c r="I22" s="194"/>
      <c r="J22" s="194"/>
      <c r="K22" s="158" t="s">
        <v>92</v>
      </c>
      <c r="L22" s="158" t="s">
        <v>92</v>
      </c>
      <c r="M22" s="158" t="s">
        <v>92</v>
      </c>
      <c r="N22" s="158" t="s">
        <v>92</v>
      </c>
      <c r="O22" s="158" t="s">
        <v>92</v>
      </c>
      <c r="P22" s="158" t="s">
        <v>92</v>
      </c>
      <c r="Q22" s="158" t="s">
        <v>92</v>
      </c>
      <c r="R22" s="158" t="s">
        <v>92</v>
      </c>
      <c r="S22" s="158" t="s">
        <v>92</v>
      </c>
      <c r="T22" s="158" t="s">
        <v>92</v>
      </c>
      <c r="U22" s="158" t="s">
        <v>92</v>
      </c>
      <c r="V22" s="158" t="s">
        <v>92</v>
      </c>
      <c r="W22" s="158" t="s">
        <v>92</v>
      </c>
      <c r="X22" s="158" t="s">
        <v>92</v>
      </c>
      <c r="Y22" s="158" t="s">
        <v>92</v>
      </c>
      <c r="Z22" s="158" t="s">
        <v>92</v>
      </c>
      <c r="AA22" s="158" t="s">
        <v>92</v>
      </c>
      <c r="AB22" s="158" t="s">
        <v>92</v>
      </c>
      <c r="AC22" s="158" t="s">
        <v>92</v>
      </c>
      <c r="AD22" s="158" t="s">
        <v>92</v>
      </c>
      <c r="AE22" s="158" t="s">
        <v>92</v>
      </c>
      <c r="AF22" s="158" t="s">
        <v>92</v>
      </c>
      <c r="AG22" s="158" t="s">
        <v>92</v>
      </c>
      <c r="AH22" s="158" t="s">
        <v>92</v>
      </c>
      <c r="AI22" s="158" t="s">
        <v>92</v>
      </c>
      <c r="AJ22" s="158" t="s">
        <v>92</v>
      </c>
      <c r="AK22" s="158" t="s">
        <v>92</v>
      </c>
      <c r="AL22" s="158" t="s">
        <v>92</v>
      </c>
      <c r="AM22" s="158" t="s">
        <v>92</v>
      </c>
      <c r="AN22" s="158" t="s">
        <v>92</v>
      </c>
    </row>
    <row r="23" spans="1:40" ht="26.1" customHeight="1" thickBot="1" x14ac:dyDescent="0.3">
      <c r="A23" s="1" t="s">
        <v>89</v>
      </c>
      <c r="B23" s="17">
        <v>12</v>
      </c>
      <c r="C23" s="199" t="str">
        <f>VLOOKUP(B23,Começo!A:D,3,0)</f>
        <v>Direito Legislativo</v>
      </c>
      <c r="D23" s="199"/>
      <c r="E23" s="199"/>
      <c r="F23" s="199"/>
      <c r="G23" s="194">
        <f>IFERROR(COUNTIF(Tabela15[#This Row],"sim"),"")*Começo!D25+SUM(Tabela15[#This Row])</f>
        <v>0</v>
      </c>
      <c r="H23" s="194"/>
      <c r="I23" s="194"/>
      <c r="J23" s="194"/>
      <c r="K23" s="158" t="s">
        <v>92</v>
      </c>
      <c r="L23" s="158" t="s">
        <v>92</v>
      </c>
      <c r="M23" s="158" t="s">
        <v>92</v>
      </c>
      <c r="N23" s="158" t="s">
        <v>92</v>
      </c>
      <c r="O23" s="158" t="s">
        <v>92</v>
      </c>
      <c r="P23" s="158" t="s">
        <v>92</v>
      </c>
      <c r="Q23" s="158" t="s">
        <v>92</v>
      </c>
      <c r="R23" s="158" t="s">
        <v>92</v>
      </c>
      <c r="S23" s="158" t="s">
        <v>92</v>
      </c>
      <c r="T23" s="158" t="s">
        <v>92</v>
      </c>
      <c r="U23" s="158" t="s">
        <v>92</v>
      </c>
      <c r="V23" s="158" t="s">
        <v>92</v>
      </c>
      <c r="W23" s="158" t="s">
        <v>92</v>
      </c>
      <c r="X23" s="158" t="s">
        <v>92</v>
      </c>
      <c r="Y23" s="158" t="s">
        <v>92</v>
      </c>
      <c r="Z23" s="158" t="s">
        <v>92</v>
      </c>
      <c r="AA23" s="158" t="s">
        <v>92</v>
      </c>
      <c r="AB23" s="158" t="s">
        <v>92</v>
      </c>
      <c r="AC23" s="158" t="s">
        <v>92</v>
      </c>
      <c r="AD23" s="158" t="s">
        <v>92</v>
      </c>
      <c r="AE23" s="158" t="s">
        <v>92</v>
      </c>
      <c r="AF23" s="158" t="s">
        <v>92</v>
      </c>
      <c r="AG23" s="158" t="s">
        <v>92</v>
      </c>
      <c r="AH23" s="158" t="s">
        <v>92</v>
      </c>
      <c r="AI23" s="158" t="s">
        <v>92</v>
      </c>
      <c r="AJ23" s="158" t="s">
        <v>92</v>
      </c>
      <c r="AK23" s="158" t="s">
        <v>92</v>
      </c>
      <c r="AL23" s="158" t="s">
        <v>92</v>
      </c>
      <c r="AM23" s="158" t="s">
        <v>92</v>
      </c>
      <c r="AN23" s="158" t="s">
        <v>92</v>
      </c>
    </row>
    <row r="24" spans="1:40" ht="26.1" customHeight="1" thickBot="1" x14ac:dyDescent="0.3">
      <c r="A24" s="1" t="s">
        <v>89</v>
      </c>
      <c r="B24" s="17">
        <v>13</v>
      </c>
      <c r="C24" s="199" t="str">
        <f>VLOOKUP(B24,Começo!A:D,3,0)</f>
        <v>Mecânica dos Fluídos</v>
      </c>
      <c r="D24" s="199"/>
      <c r="E24" s="199"/>
      <c r="F24" s="199"/>
      <c r="G24" s="194">
        <f>IFERROR(COUNTIF(Tabela15[#This Row],"sim"),"")*Começo!D26+SUM(Tabela15[#This Row])</f>
        <v>0</v>
      </c>
      <c r="H24" s="194"/>
      <c r="I24" s="194"/>
      <c r="J24" s="194"/>
      <c r="K24" s="158" t="s">
        <v>92</v>
      </c>
      <c r="L24" s="158" t="s">
        <v>92</v>
      </c>
      <c r="M24" s="158" t="s">
        <v>92</v>
      </c>
      <c r="N24" s="158" t="s">
        <v>92</v>
      </c>
      <c r="O24" s="158" t="s">
        <v>92</v>
      </c>
      <c r="P24" s="158" t="s">
        <v>92</v>
      </c>
      <c r="Q24" s="158" t="s">
        <v>92</v>
      </c>
      <c r="R24" s="158" t="s">
        <v>92</v>
      </c>
      <c r="S24" s="158" t="s">
        <v>92</v>
      </c>
      <c r="T24" s="158" t="s">
        <v>92</v>
      </c>
      <c r="U24" s="158" t="s">
        <v>92</v>
      </c>
      <c r="V24" s="158" t="s">
        <v>92</v>
      </c>
      <c r="W24" s="158" t="s">
        <v>92</v>
      </c>
      <c r="X24" s="158" t="s">
        <v>92</v>
      </c>
      <c r="Y24" s="158" t="s">
        <v>92</v>
      </c>
      <c r="Z24" s="158" t="s">
        <v>92</v>
      </c>
      <c r="AA24" s="158" t="s">
        <v>92</v>
      </c>
      <c r="AB24" s="158" t="s">
        <v>92</v>
      </c>
      <c r="AC24" s="158" t="s">
        <v>92</v>
      </c>
      <c r="AD24" s="158" t="s">
        <v>92</v>
      </c>
      <c r="AE24" s="158" t="s">
        <v>92</v>
      </c>
      <c r="AF24" s="158" t="s">
        <v>92</v>
      </c>
      <c r="AG24" s="158" t="s">
        <v>92</v>
      </c>
      <c r="AH24" s="158" t="s">
        <v>92</v>
      </c>
      <c r="AI24" s="158" t="s">
        <v>92</v>
      </c>
      <c r="AJ24" s="158" t="s">
        <v>92</v>
      </c>
      <c r="AK24" s="158" t="s">
        <v>92</v>
      </c>
      <c r="AL24" s="158" t="s">
        <v>92</v>
      </c>
      <c r="AM24" s="158" t="s">
        <v>92</v>
      </c>
      <c r="AN24" s="158" t="s">
        <v>92</v>
      </c>
    </row>
    <row r="25" spans="1:40" ht="26.1" customHeight="1" thickBot="1" x14ac:dyDescent="0.3">
      <c r="A25" s="1" t="s">
        <v>89</v>
      </c>
      <c r="B25" s="17">
        <v>14</v>
      </c>
      <c r="C25" s="199" t="str">
        <f>VLOOKUP(B25,Começo!A:D,3,0)</f>
        <v>IoT</v>
      </c>
      <c r="D25" s="199"/>
      <c r="E25" s="199"/>
      <c r="F25" s="199"/>
      <c r="G25" s="194">
        <f>IFERROR(COUNTIF(Tabela15[#This Row],"sim"),"")*Começo!D27+SUM(Tabela15[#This Row])</f>
        <v>0</v>
      </c>
      <c r="H25" s="194"/>
      <c r="I25" s="194"/>
      <c r="J25" s="194"/>
      <c r="K25" s="158" t="s">
        <v>92</v>
      </c>
      <c r="L25" s="158" t="s">
        <v>92</v>
      </c>
      <c r="M25" s="158" t="s">
        <v>92</v>
      </c>
      <c r="N25" s="158" t="s">
        <v>92</v>
      </c>
      <c r="O25" s="158" t="s">
        <v>92</v>
      </c>
      <c r="P25" s="158" t="s">
        <v>92</v>
      </c>
      <c r="Q25" s="158" t="s">
        <v>92</v>
      </c>
      <c r="R25" s="158" t="s">
        <v>92</v>
      </c>
      <c r="S25" s="158" t="s">
        <v>92</v>
      </c>
      <c r="T25" s="158" t="s">
        <v>92</v>
      </c>
      <c r="U25" s="158" t="s">
        <v>92</v>
      </c>
      <c r="V25" s="158" t="s">
        <v>92</v>
      </c>
      <c r="W25" s="158" t="s">
        <v>92</v>
      </c>
      <c r="X25" s="158" t="s">
        <v>92</v>
      </c>
      <c r="Y25" s="158" t="s">
        <v>92</v>
      </c>
      <c r="Z25" s="158" t="s">
        <v>92</v>
      </c>
      <c r="AA25" s="158" t="s">
        <v>92</v>
      </c>
      <c r="AB25" s="158" t="s">
        <v>92</v>
      </c>
      <c r="AC25" s="158" t="s">
        <v>92</v>
      </c>
      <c r="AD25" s="158" t="s">
        <v>92</v>
      </c>
      <c r="AE25" s="158" t="s">
        <v>92</v>
      </c>
      <c r="AF25" s="158" t="s">
        <v>92</v>
      </c>
      <c r="AG25" s="158" t="s">
        <v>92</v>
      </c>
      <c r="AH25" s="158" t="s">
        <v>92</v>
      </c>
      <c r="AI25" s="158" t="s">
        <v>92</v>
      </c>
      <c r="AJ25" s="158" t="s">
        <v>92</v>
      </c>
      <c r="AK25" s="158" t="s">
        <v>92</v>
      </c>
      <c r="AL25" s="158" t="s">
        <v>92</v>
      </c>
      <c r="AM25" s="158" t="s">
        <v>92</v>
      </c>
      <c r="AN25" s="158" t="s">
        <v>92</v>
      </c>
    </row>
    <row r="26" spans="1:40" ht="26.1" customHeight="1" thickBot="1" x14ac:dyDescent="0.3">
      <c r="A26" s="1" t="s">
        <v>89</v>
      </c>
      <c r="B26" s="17">
        <v>15</v>
      </c>
      <c r="C26" s="199" t="str">
        <f>VLOOKUP(B26,Começo!A:D,3,0)</f>
        <v>Astrologia</v>
      </c>
      <c r="D26" s="199"/>
      <c r="E26" s="199"/>
      <c r="F26" s="199"/>
      <c r="G26" s="194">
        <f>IFERROR(COUNTIF(Tabela15[#This Row],"sim"),"")*Começo!D28+SUM(Tabela15[#This Row])</f>
        <v>0</v>
      </c>
      <c r="H26" s="194"/>
      <c r="I26" s="194"/>
      <c r="J26" s="194"/>
      <c r="K26" s="158" t="s">
        <v>92</v>
      </c>
      <c r="L26" s="158" t="s">
        <v>92</v>
      </c>
      <c r="M26" s="158" t="s">
        <v>92</v>
      </c>
      <c r="N26" s="158" t="s">
        <v>92</v>
      </c>
      <c r="O26" s="158" t="s">
        <v>92</v>
      </c>
      <c r="P26" s="158" t="s">
        <v>92</v>
      </c>
      <c r="Q26" s="158" t="s">
        <v>92</v>
      </c>
      <c r="R26" s="158" t="s">
        <v>92</v>
      </c>
      <c r="S26" s="158" t="s">
        <v>92</v>
      </c>
      <c r="T26" s="158" t="s">
        <v>92</v>
      </c>
      <c r="U26" s="158" t="s">
        <v>92</v>
      </c>
      <c r="V26" s="158" t="s">
        <v>92</v>
      </c>
      <c r="W26" s="158" t="s">
        <v>92</v>
      </c>
      <c r="X26" s="158" t="s">
        <v>92</v>
      </c>
      <c r="Y26" s="158" t="s">
        <v>92</v>
      </c>
      <c r="Z26" s="158" t="s">
        <v>92</v>
      </c>
      <c r="AA26" s="158" t="s">
        <v>92</v>
      </c>
      <c r="AB26" s="158" t="s">
        <v>92</v>
      </c>
      <c r="AC26" s="158" t="s">
        <v>92</v>
      </c>
      <c r="AD26" s="158" t="s">
        <v>92</v>
      </c>
      <c r="AE26" s="158" t="s">
        <v>92</v>
      </c>
      <c r="AF26" s="158" t="s">
        <v>92</v>
      </c>
      <c r="AG26" s="158" t="s">
        <v>92</v>
      </c>
      <c r="AH26" s="158" t="s">
        <v>92</v>
      </c>
      <c r="AI26" s="158" t="s">
        <v>92</v>
      </c>
      <c r="AJ26" s="158" t="s">
        <v>92</v>
      </c>
      <c r="AK26" s="158" t="s">
        <v>92</v>
      </c>
      <c r="AL26" s="158" t="s">
        <v>92</v>
      </c>
      <c r="AM26" s="158" t="s">
        <v>92</v>
      </c>
      <c r="AN26" s="158" t="s">
        <v>92</v>
      </c>
    </row>
    <row r="27" spans="1:40" ht="26.1" customHeight="1" thickBot="1" x14ac:dyDescent="0.3">
      <c r="A27" s="1" t="s">
        <v>89</v>
      </c>
      <c r="B27" s="17">
        <v>16</v>
      </c>
      <c r="C27" s="199" t="str">
        <f>VLOOKUP(B27,Começo!A:D,3,0)</f>
        <v>Colorimetria</v>
      </c>
      <c r="D27" s="199"/>
      <c r="E27" s="199"/>
      <c r="F27" s="199"/>
      <c r="G27" s="194">
        <f>IFERROR(COUNTIF(Tabela15[#This Row],"sim"),"")*Começo!D29+SUM(Tabela15[#This Row])</f>
        <v>0</v>
      </c>
      <c r="H27" s="194"/>
      <c r="I27" s="194"/>
      <c r="J27" s="194"/>
      <c r="K27" s="158" t="s">
        <v>92</v>
      </c>
      <c r="L27" s="158" t="s">
        <v>92</v>
      </c>
      <c r="M27" s="158" t="s">
        <v>92</v>
      </c>
      <c r="N27" s="158" t="s">
        <v>92</v>
      </c>
      <c r="O27" s="158" t="s">
        <v>92</v>
      </c>
      <c r="P27" s="158" t="s">
        <v>92</v>
      </c>
      <c r="Q27" s="158" t="s">
        <v>92</v>
      </c>
      <c r="R27" s="158" t="s">
        <v>92</v>
      </c>
      <c r="S27" s="158" t="s">
        <v>92</v>
      </c>
      <c r="T27" s="158" t="s">
        <v>92</v>
      </c>
      <c r="U27" s="158" t="s">
        <v>92</v>
      </c>
      <c r="V27" s="158" t="s">
        <v>92</v>
      </c>
      <c r="W27" s="158" t="s">
        <v>92</v>
      </c>
      <c r="X27" s="158" t="s">
        <v>92</v>
      </c>
      <c r="Y27" s="158" t="s">
        <v>92</v>
      </c>
      <c r="Z27" s="158" t="s">
        <v>92</v>
      </c>
      <c r="AA27" s="158" t="s">
        <v>92</v>
      </c>
      <c r="AB27" s="158" t="s">
        <v>92</v>
      </c>
      <c r="AC27" s="158" t="s">
        <v>92</v>
      </c>
      <c r="AD27" s="158" t="s">
        <v>92</v>
      </c>
      <c r="AE27" s="158" t="s">
        <v>92</v>
      </c>
      <c r="AF27" s="158" t="s">
        <v>92</v>
      </c>
      <c r="AG27" s="158" t="s">
        <v>92</v>
      </c>
      <c r="AH27" s="158" t="s">
        <v>92</v>
      </c>
      <c r="AI27" s="158" t="s">
        <v>92</v>
      </c>
      <c r="AJ27" s="158" t="s">
        <v>92</v>
      </c>
      <c r="AK27" s="158" t="s">
        <v>92</v>
      </c>
      <c r="AL27" s="158" t="s">
        <v>92</v>
      </c>
      <c r="AM27" s="158" t="s">
        <v>92</v>
      </c>
      <c r="AN27" s="158" t="s">
        <v>92</v>
      </c>
    </row>
    <row r="28" spans="1:40" ht="16.5" x14ac:dyDescent="0.25">
      <c r="K28" s="159">
        <f>SUBTOTAL(109,Tabela15[1-abr])</f>
        <v>0</v>
      </c>
      <c r="L28" s="159">
        <f>SUBTOTAL(109,Tabela15[2-abr])</f>
        <v>0</v>
      </c>
      <c r="M28" s="159">
        <f>SUBTOTAL(109,Tabela15[3-abr])</f>
        <v>0</v>
      </c>
      <c r="N28" s="159">
        <f>SUBTOTAL(109,Tabela15[4-abr])</f>
        <v>0</v>
      </c>
      <c r="O28" s="159">
        <f>SUBTOTAL(109,Tabela15[5-abr])</f>
        <v>0</v>
      </c>
      <c r="P28" s="159">
        <f>SUBTOTAL(109,Tabela15[6-abr])</f>
        <v>0</v>
      </c>
      <c r="Q28" s="159">
        <f>SUBTOTAL(109,Tabela15[7-abr])</f>
        <v>0</v>
      </c>
      <c r="R28" s="159">
        <f>SUBTOTAL(109,Tabela15[8-abr])</f>
        <v>0</v>
      </c>
      <c r="S28" s="159">
        <f>SUBTOTAL(109,Tabela15[9-abr])</f>
        <v>0</v>
      </c>
      <c r="T28" s="159">
        <f>SUBTOTAL(109,Tabela15[10-abr])</f>
        <v>0</v>
      </c>
      <c r="U28" s="159">
        <f>SUBTOTAL(109,Tabela15[11-abr])</f>
        <v>0</v>
      </c>
      <c r="V28" s="159">
        <f>SUBTOTAL(109,Tabela15[12-abr])</f>
        <v>0</v>
      </c>
      <c r="W28" s="159">
        <f>SUBTOTAL(109,Tabela15[13-abr])</f>
        <v>0</v>
      </c>
      <c r="X28" s="159">
        <f>SUBTOTAL(109,Tabela15[14-abr])</f>
        <v>0</v>
      </c>
      <c r="Y28" s="159">
        <f>SUBTOTAL(109,Tabela15[15-abr])</f>
        <v>0</v>
      </c>
      <c r="Z28" s="159">
        <f>SUBTOTAL(109,Tabela15[16-abr])</f>
        <v>0</v>
      </c>
      <c r="AA28" s="159">
        <f>SUBTOTAL(109,Tabela15[17-abr])</f>
        <v>0</v>
      </c>
      <c r="AB28" s="159">
        <f>SUBTOTAL(109,Tabela15[18-abr])</f>
        <v>0</v>
      </c>
      <c r="AC28" s="159">
        <f>SUBTOTAL(109,Tabela15[19-abr])</f>
        <v>0</v>
      </c>
      <c r="AD28" s="159">
        <f>SUBTOTAL(109,Tabela15[20-abr])</f>
        <v>0</v>
      </c>
      <c r="AE28" s="159">
        <f>SUBTOTAL(109,Tabela15[21-abr])</f>
        <v>0</v>
      </c>
      <c r="AF28" s="159">
        <f>SUBTOTAL(109,Tabela15[22-abr])</f>
        <v>0</v>
      </c>
      <c r="AG28" s="159">
        <f>SUBTOTAL(109,Tabela15[23-abr])</f>
        <v>0</v>
      </c>
      <c r="AH28" s="159">
        <f>SUBTOTAL(109,Tabela15[24-abr])</f>
        <v>0</v>
      </c>
      <c r="AI28" s="159">
        <f>SUBTOTAL(109,Tabela15[25-abr])</f>
        <v>0</v>
      </c>
      <c r="AJ28" s="159">
        <f>SUBTOTAL(109,Tabela15[26-abr])</f>
        <v>0</v>
      </c>
      <c r="AK28" s="159">
        <f>SUBTOTAL(109,Tabela15[27-abr])</f>
        <v>0</v>
      </c>
      <c r="AL28" s="159">
        <f>SUBTOTAL(109,Tabela15[28-abr])</f>
        <v>0</v>
      </c>
      <c r="AM28" s="159">
        <f>SUBTOTAL(109,Tabela15[29-abr])</f>
        <v>0</v>
      </c>
      <c r="AN28" s="159">
        <f>SUBTOTAL(109,Tabela15[30-abr])</f>
        <v>0</v>
      </c>
    </row>
    <row r="30" spans="1:40" x14ac:dyDescent="0.25">
      <c r="B30" s="188"/>
      <c r="C30" s="188"/>
    </row>
    <row r="31" spans="1:40" x14ac:dyDescent="0.25">
      <c r="B31" s="188"/>
      <c r="C31" s="188"/>
    </row>
  </sheetData>
  <sheetProtection algorithmName="SHA-512" hashValue="9V5fgaxZ49B5aF390L0kpa63YsOpsZycm+a4iMtp3CDwgucyyBLlnnCKt3I9spgq5gwfYMXACGW00z/P+AUkpw==" saltValue="F3IoT4jiDnKyL2/6Lu/L/g==" spinCount="100000" sheet="1" objects="1" scenarios="1"/>
  <mergeCells count="49">
    <mergeCell ref="C15:F15"/>
    <mergeCell ref="K8:K9"/>
    <mergeCell ref="C25:F25"/>
    <mergeCell ref="G25:J25"/>
    <mergeCell ref="C16:F16"/>
    <mergeCell ref="G16:J16"/>
    <mergeCell ref="C17:F17"/>
    <mergeCell ref="G17:J17"/>
    <mergeCell ref="G8:G9"/>
    <mergeCell ref="H8:H9"/>
    <mergeCell ref="J8:J9"/>
    <mergeCell ref="G18:J18"/>
    <mergeCell ref="C13:F13"/>
    <mergeCell ref="G13:J13"/>
    <mergeCell ref="C14:F14"/>
    <mergeCell ref="G19:J19"/>
    <mergeCell ref="C20:F20"/>
    <mergeCell ref="G20:J20"/>
    <mergeCell ref="C21:F21"/>
    <mergeCell ref="G21:J21"/>
    <mergeCell ref="O7:Q7"/>
    <mergeCell ref="O8:Q9"/>
    <mergeCell ref="B11:F11"/>
    <mergeCell ref="G11:J11"/>
    <mergeCell ref="C12:F12"/>
    <mergeCell ref="G12:J12"/>
    <mergeCell ref="B8:B9"/>
    <mergeCell ref="C8:C9"/>
    <mergeCell ref="D8:D9"/>
    <mergeCell ref="E8:E9"/>
    <mergeCell ref="L8:L9"/>
    <mergeCell ref="M8:M9"/>
    <mergeCell ref="I8:I9"/>
    <mergeCell ref="F8:F9"/>
    <mergeCell ref="G14:J14"/>
    <mergeCell ref="C18:F18"/>
    <mergeCell ref="G15:J15"/>
    <mergeCell ref="B30:C31"/>
    <mergeCell ref="C27:F27"/>
    <mergeCell ref="G27:J27"/>
    <mergeCell ref="C22:F22"/>
    <mergeCell ref="G22:J22"/>
    <mergeCell ref="C23:F23"/>
    <mergeCell ref="G23:J23"/>
    <mergeCell ref="C24:F24"/>
    <mergeCell ref="G24:J24"/>
    <mergeCell ref="C26:F26"/>
    <mergeCell ref="G26:J26"/>
    <mergeCell ref="C19:F19"/>
  </mergeCells>
  <conditionalFormatting sqref="K12:AN27">
    <cfRule type="containsText" dxfId="79" priority="3" operator="containsText" text="não">
      <formula>NOT(ISERROR(SEARCH("não",K12)))</formula>
    </cfRule>
    <cfRule type="containsText" dxfId="78" priority="4" operator="containsText" text="sim">
      <formula>NOT(ISERROR(SEARCH("sim",K12)))</formula>
    </cfRule>
  </conditionalFormatting>
  <conditionalFormatting sqref="G12:J2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{8C0E14D7-957B-4683-B0D6-31E11AACDF7F}</x14:id>
        </ext>
      </extLst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{9C946C1A-C5EE-424E-955B-B4A593DC79E7}</x14:id>
        </ext>
      </extLst>
    </cfRule>
  </conditionalFormatting>
  <dataValidations count="1">
    <dataValidation type="list" allowBlank="1" showInputMessage="1" showErrorMessage="1" sqref="K12:AN27" xr:uid="{00000000-0002-0000-1700-000000000000}">
      <formula1>"Sim,Não,00:30,01:00,01:30,02:00,02:30,03:00,03:30,04:00"</formula1>
    </dataValidation>
  </dataValidations>
  <hyperlinks>
    <hyperlink ref="B8" location="Desempenho!A1" display="janeiro" xr:uid="{00000000-0004-0000-1700-000000000000}"/>
    <hyperlink ref="C8" location="fev!A1" display="Fevereiro" xr:uid="{00000000-0004-0000-1700-000001000000}"/>
    <hyperlink ref="D8" location="mar!A1" display="Março" xr:uid="{00000000-0004-0000-1700-000002000000}"/>
    <hyperlink ref="E8" location="abr!A1" display="Abril" xr:uid="{00000000-0004-0000-1700-000003000000}"/>
    <hyperlink ref="F8" location="maio!A1" display="Maio" xr:uid="{00000000-0004-0000-1700-000004000000}"/>
    <hyperlink ref="G8" location="jun!A1" display="Junho" xr:uid="{00000000-0004-0000-1700-000005000000}"/>
    <hyperlink ref="H8" location="jul!A1" display="Julho" xr:uid="{00000000-0004-0000-1700-000006000000}"/>
    <hyperlink ref="I8" location="ago!A1" display="Agosto" xr:uid="{00000000-0004-0000-1700-000007000000}"/>
    <hyperlink ref="J8" location="set!A1" display="Setembro" xr:uid="{00000000-0004-0000-1700-000008000000}"/>
    <hyperlink ref="K8" location="out!A1" display="Outubro" xr:uid="{00000000-0004-0000-1700-000009000000}"/>
    <hyperlink ref="L8" location="nov!A1" display="Novembro" xr:uid="{00000000-0004-0000-1700-00000A000000}"/>
    <hyperlink ref="M8" location="dez!A1" display="Dezembro" xr:uid="{00000000-0004-0000-1700-00000B000000}"/>
  </hyperlink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C0E14D7-957B-4683-B0D6-31E11AACDF7F}">
            <x14:dataBar minLength="0" maxLength="100" gradient="0">
              <x14:cfvo type="autoMin"/>
              <x14:cfvo type="autoMax"/>
              <x14:negativeFillColor rgb="FFFF0000"/>
              <x14:axisColor theme="0"/>
            </x14:dataBar>
          </x14:cfRule>
          <x14:cfRule type="dataBar" id="{9C946C1A-C5EE-424E-955B-B4A593DC79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G12:J27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25"/>
  <dimension ref="A1:AO31"/>
  <sheetViews>
    <sheetView showGridLines="0" workbookViewId="0">
      <pane ySplit="4" topLeftCell="A5" activePane="bottomLeft" state="frozen"/>
      <selection activeCell="A5" sqref="A5"/>
      <selection pane="bottomLeft" activeCell="G8" sqref="G8:G9"/>
    </sheetView>
  </sheetViews>
  <sheetFormatPr defaultRowHeight="15" x14ac:dyDescent="0.25"/>
  <cols>
    <col min="1" max="1" width="3.85546875" style="18" customWidth="1"/>
    <col min="2" max="2" width="8.140625" style="18" bestFit="1" customWidth="1"/>
    <col min="3" max="3" width="10.5703125" style="18" bestFit="1" customWidth="1"/>
    <col min="4" max="4" width="7.5703125" style="18" bestFit="1" customWidth="1"/>
    <col min="5" max="5" width="6.140625" style="18" bestFit="1" customWidth="1"/>
    <col min="6" max="6" width="6.28515625" style="18" bestFit="1" customWidth="1"/>
    <col min="7" max="7" width="7.42578125" style="18" bestFit="1" customWidth="1"/>
    <col min="8" max="8" width="6.7109375" style="18" bestFit="1" customWidth="1"/>
    <col min="9" max="9" width="8.5703125" style="18" bestFit="1" customWidth="1"/>
    <col min="10" max="10" width="11" style="18" bestFit="1" customWidth="1"/>
    <col min="11" max="11" width="9.7109375" style="18" bestFit="1" customWidth="1"/>
    <col min="12" max="12" width="12" style="18" bestFit="1" customWidth="1"/>
    <col min="13" max="13" width="11.5703125" style="18" bestFit="1" customWidth="1"/>
    <col min="14" max="16384" width="9.140625" style="18"/>
  </cols>
  <sheetData>
    <row r="1" spans="1:41" s="44" customFormat="1" x14ac:dyDescent="0.25"/>
    <row r="2" spans="1:41" s="44" customFormat="1" x14ac:dyDescent="0.25"/>
    <row r="3" spans="1:41" s="44" customFormat="1" x14ac:dyDescent="0.25"/>
    <row r="4" spans="1:41" s="44" customFormat="1" x14ac:dyDescent="0.25"/>
    <row r="5" spans="1:41" s="67" customFormat="1" ht="3.95" customHeight="1" x14ac:dyDescent="0.25"/>
    <row r="6" spans="1:41" ht="15" customHeight="1" x14ac:dyDescent="0.25"/>
    <row r="7" spans="1:41" ht="15" customHeight="1" x14ac:dyDescent="0.25">
      <c r="O7" s="246" t="s">
        <v>36</v>
      </c>
      <c r="P7" s="246"/>
      <c r="Q7" s="246"/>
    </row>
    <row r="8" spans="1:41" ht="15" customHeight="1" x14ac:dyDescent="0.25">
      <c r="A8" s="46"/>
      <c r="B8" s="247" t="s">
        <v>133</v>
      </c>
      <c r="C8" s="247" t="s">
        <v>25</v>
      </c>
      <c r="D8" s="247" t="s">
        <v>26</v>
      </c>
      <c r="E8" s="247" t="s">
        <v>27</v>
      </c>
      <c r="F8" s="247" t="s">
        <v>28</v>
      </c>
      <c r="G8" s="247" t="s">
        <v>29</v>
      </c>
      <c r="H8" s="247" t="s">
        <v>30</v>
      </c>
      <c r="I8" s="247" t="s">
        <v>31</v>
      </c>
      <c r="J8" s="247" t="s">
        <v>32</v>
      </c>
      <c r="K8" s="247" t="s">
        <v>33</v>
      </c>
      <c r="L8" s="247" t="s">
        <v>34</v>
      </c>
      <c r="M8" s="247" t="s">
        <v>35</v>
      </c>
      <c r="N8" s="49"/>
      <c r="O8" s="196">
        <f>SUM(G12:J27)</f>
        <v>0</v>
      </c>
      <c r="P8" s="196"/>
      <c r="Q8" s="196"/>
    </row>
    <row r="9" spans="1:41" ht="15" customHeight="1" x14ac:dyDescent="0.25">
      <c r="A9" s="46"/>
      <c r="B9" s="247"/>
      <c r="C9" s="247"/>
      <c r="D9" s="247"/>
      <c r="E9" s="247"/>
      <c r="F9" s="247"/>
      <c r="G9" s="247"/>
      <c r="H9" s="247"/>
      <c r="I9" s="247"/>
      <c r="J9" s="247"/>
      <c r="K9" s="247"/>
      <c r="L9" s="247"/>
      <c r="M9" s="247"/>
      <c r="N9" s="50"/>
      <c r="O9" s="196"/>
      <c r="P9" s="196"/>
      <c r="Q9" s="196"/>
    </row>
    <row r="10" spans="1:41" ht="15" customHeight="1" x14ac:dyDescent="0.25">
      <c r="O10" s="45"/>
      <c r="P10" s="45"/>
      <c r="Q10" s="45"/>
    </row>
    <row r="11" spans="1:41" ht="21" thickBot="1" x14ac:dyDescent="0.3">
      <c r="A11" s="19"/>
      <c r="B11" s="198" t="s">
        <v>134</v>
      </c>
      <c r="C11" s="198"/>
      <c r="D11" s="198"/>
      <c r="E11" s="198"/>
      <c r="F11" s="198"/>
      <c r="G11" s="195" t="s">
        <v>37</v>
      </c>
      <c r="H11" s="195"/>
      <c r="I11" s="195"/>
      <c r="J11" s="195"/>
      <c r="K11" s="21" t="s">
        <v>232</v>
      </c>
      <c r="L11" s="21" t="s">
        <v>233</v>
      </c>
      <c r="M11" s="21" t="s">
        <v>234</v>
      </c>
      <c r="N11" s="21" t="s">
        <v>235</v>
      </c>
      <c r="O11" s="21" t="s">
        <v>236</v>
      </c>
      <c r="P11" s="21" t="s">
        <v>237</v>
      </c>
      <c r="Q11" s="21" t="s">
        <v>238</v>
      </c>
      <c r="R11" s="21" t="s">
        <v>239</v>
      </c>
      <c r="S11" s="21" t="s">
        <v>240</v>
      </c>
      <c r="T11" s="21" t="s">
        <v>241</v>
      </c>
      <c r="U11" s="21" t="s">
        <v>242</v>
      </c>
      <c r="V11" s="21" t="s">
        <v>243</v>
      </c>
      <c r="W11" s="21" t="s">
        <v>244</v>
      </c>
      <c r="X11" s="21" t="s">
        <v>245</v>
      </c>
      <c r="Y11" s="21" t="s">
        <v>246</v>
      </c>
      <c r="Z11" s="21" t="s">
        <v>247</v>
      </c>
      <c r="AA11" s="21" t="s">
        <v>248</v>
      </c>
      <c r="AB11" s="21" t="s">
        <v>249</v>
      </c>
      <c r="AC11" s="21" t="s">
        <v>250</v>
      </c>
      <c r="AD11" s="21" t="s">
        <v>251</v>
      </c>
      <c r="AE11" s="21" t="s">
        <v>252</v>
      </c>
      <c r="AF11" s="21" t="s">
        <v>253</v>
      </c>
      <c r="AG11" s="21" t="s">
        <v>254</v>
      </c>
      <c r="AH11" s="21" t="s">
        <v>255</v>
      </c>
      <c r="AI11" s="21" t="s">
        <v>256</v>
      </c>
      <c r="AJ11" s="21" t="s">
        <v>257</v>
      </c>
      <c r="AK11" s="21" t="s">
        <v>258</v>
      </c>
      <c r="AL11" s="21" t="s">
        <v>259</v>
      </c>
      <c r="AM11" s="21" t="s">
        <v>260</v>
      </c>
      <c r="AN11" s="21" t="s">
        <v>261</v>
      </c>
      <c r="AO11" s="21" t="s">
        <v>262</v>
      </c>
    </row>
    <row r="12" spans="1:41" ht="26.1" customHeight="1" thickTop="1" thickBot="1" x14ac:dyDescent="0.3">
      <c r="A12" s="1" t="s">
        <v>89</v>
      </c>
      <c r="B12" s="16">
        <v>1</v>
      </c>
      <c r="C12" s="199" t="str">
        <f>VLOOKUP(B12,Começo!A:D,3,0)</f>
        <v>Português</v>
      </c>
      <c r="D12" s="199"/>
      <c r="E12" s="199"/>
      <c r="F12" s="199"/>
      <c r="G12" s="194">
        <f>IFERROR(COUNTIF(Tabela16[#This Row],"sim"),"")*Começo!D14+SUM(Tabela16[#This Row])</f>
        <v>0</v>
      </c>
      <c r="H12" s="194"/>
      <c r="I12" s="194"/>
      <c r="J12" s="194"/>
      <c r="K12" s="160" t="s">
        <v>92</v>
      </c>
      <c r="L12" s="160" t="s">
        <v>92</v>
      </c>
      <c r="M12" s="160" t="s">
        <v>92</v>
      </c>
      <c r="N12" s="160" t="s">
        <v>92</v>
      </c>
      <c r="O12" s="160" t="s">
        <v>92</v>
      </c>
      <c r="P12" s="160" t="s">
        <v>92</v>
      </c>
      <c r="Q12" s="160" t="s">
        <v>92</v>
      </c>
      <c r="R12" s="160" t="s">
        <v>92</v>
      </c>
      <c r="S12" s="160" t="s">
        <v>92</v>
      </c>
      <c r="T12" s="160" t="s">
        <v>92</v>
      </c>
      <c r="U12" s="160" t="s">
        <v>92</v>
      </c>
      <c r="V12" s="160" t="s">
        <v>92</v>
      </c>
      <c r="W12" s="160" t="s">
        <v>92</v>
      </c>
      <c r="X12" s="160" t="s">
        <v>92</v>
      </c>
      <c r="Y12" s="160" t="s">
        <v>92</v>
      </c>
      <c r="Z12" s="160" t="s">
        <v>92</v>
      </c>
      <c r="AA12" s="160" t="s">
        <v>92</v>
      </c>
      <c r="AB12" s="160" t="s">
        <v>92</v>
      </c>
      <c r="AC12" s="160" t="s">
        <v>92</v>
      </c>
      <c r="AD12" s="160" t="s">
        <v>92</v>
      </c>
      <c r="AE12" s="160" t="s">
        <v>92</v>
      </c>
      <c r="AF12" s="160" t="s">
        <v>92</v>
      </c>
      <c r="AG12" s="160" t="s">
        <v>92</v>
      </c>
      <c r="AH12" s="160" t="s">
        <v>92</v>
      </c>
      <c r="AI12" s="160" t="s">
        <v>92</v>
      </c>
      <c r="AJ12" s="160" t="s">
        <v>92</v>
      </c>
      <c r="AK12" s="160" t="s">
        <v>92</v>
      </c>
      <c r="AL12" s="160" t="s">
        <v>92</v>
      </c>
      <c r="AM12" s="160" t="s">
        <v>92</v>
      </c>
      <c r="AN12" s="160" t="s">
        <v>92</v>
      </c>
      <c r="AO12" s="160" t="s">
        <v>92</v>
      </c>
    </row>
    <row r="13" spans="1:41" ht="26.1" customHeight="1" thickTop="1" thickBot="1" x14ac:dyDescent="0.3">
      <c r="A13" s="1" t="s">
        <v>89</v>
      </c>
      <c r="B13" s="17">
        <v>2</v>
      </c>
      <c r="C13" s="199" t="str">
        <f>VLOOKUP(B13,Começo!A:D,3,0)</f>
        <v>Matemática</v>
      </c>
      <c r="D13" s="199"/>
      <c r="E13" s="199"/>
      <c r="F13" s="199"/>
      <c r="G13" s="194">
        <f>IFERROR(COUNTIF(Tabela16[#This Row],"sim"),"")*Começo!D15+SUM(Tabela16[#This Row])</f>
        <v>0</v>
      </c>
      <c r="H13" s="194"/>
      <c r="I13" s="194"/>
      <c r="J13" s="194"/>
      <c r="K13" s="160" t="s">
        <v>92</v>
      </c>
      <c r="L13" s="160" t="s">
        <v>92</v>
      </c>
      <c r="M13" s="160" t="s">
        <v>92</v>
      </c>
      <c r="N13" s="160" t="s">
        <v>92</v>
      </c>
      <c r="O13" s="160" t="s">
        <v>92</v>
      </c>
      <c r="P13" s="160" t="s">
        <v>92</v>
      </c>
      <c r="Q13" s="160" t="s">
        <v>92</v>
      </c>
      <c r="R13" s="160" t="s">
        <v>92</v>
      </c>
      <c r="S13" s="160" t="s">
        <v>92</v>
      </c>
      <c r="T13" s="160" t="s">
        <v>92</v>
      </c>
      <c r="U13" s="160" t="s">
        <v>92</v>
      </c>
      <c r="V13" s="160" t="s">
        <v>92</v>
      </c>
      <c r="W13" s="160" t="s">
        <v>92</v>
      </c>
      <c r="X13" s="160" t="s">
        <v>92</v>
      </c>
      <c r="Y13" s="160" t="s">
        <v>92</v>
      </c>
      <c r="Z13" s="160" t="s">
        <v>92</v>
      </c>
      <c r="AA13" s="160" t="s">
        <v>92</v>
      </c>
      <c r="AB13" s="160" t="s">
        <v>92</v>
      </c>
      <c r="AC13" s="160" t="s">
        <v>92</v>
      </c>
      <c r="AD13" s="160" t="s">
        <v>92</v>
      </c>
      <c r="AE13" s="160" t="s">
        <v>92</v>
      </c>
      <c r="AF13" s="160" t="s">
        <v>92</v>
      </c>
      <c r="AG13" s="160" t="s">
        <v>92</v>
      </c>
      <c r="AH13" s="160" t="s">
        <v>92</v>
      </c>
      <c r="AI13" s="160" t="s">
        <v>92</v>
      </c>
      <c r="AJ13" s="160" t="s">
        <v>92</v>
      </c>
      <c r="AK13" s="160" t="s">
        <v>92</v>
      </c>
      <c r="AL13" s="160" t="s">
        <v>92</v>
      </c>
      <c r="AM13" s="160" t="s">
        <v>92</v>
      </c>
      <c r="AN13" s="160" t="s">
        <v>92</v>
      </c>
      <c r="AO13" s="160" t="s">
        <v>92</v>
      </c>
    </row>
    <row r="14" spans="1:41" ht="26.1" customHeight="1" thickTop="1" thickBot="1" x14ac:dyDescent="0.3">
      <c r="A14" s="1" t="s">
        <v>89</v>
      </c>
      <c r="B14" s="17">
        <v>3</v>
      </c>
      <c r="C14" s="199" t="str">
        <f>VLOOKUP(B14,Começo!A:D,3,0)</f>
        <v>História</v>
      </c>
      <c r="D14" s="199"/>
      <c r="E14" s="199"/>
      <c r="F14" s="199"/>
      <c r="G14" s="194">
        <f>IFERROR(COUNTIF(Tabela16[#This Row],"sim"),"")*Começo!D16+SUM(Tabela16[#This Row])</f>
        <v>0</v>
      </c>
      <c r="H14" s="194"/>
      <c r="I14" s="194"/>
      <c r="J14" s="194"/>
      <c r="K14" s="160" t="s">
        <v>92</v>
      </c>
      <c r="L14" s="160" t="s">
        <v>92</v>
      </c>
      <c r="M14" s="160" t="s">
        <v>92</v>
      </c>
      <c r="N14" s="160" t="s">
        <v>92</v>
      </c>
      <c r="O14" s="160" t="s">
        <v>92</v>
      </c>
      <c r="P14" s="160" t="s">
        <v>92</v>
      </c>
      <c r="Q14" s="160" t="s">
        <v>92</v>
      </c>
      <c r="R14" s="160" t="s">
        <v>92</v>
      </c>
      <c r="S14" s="160" t="s">
        <v>92</v>
      </c>
      <c r="T14" s="160" t="s">
        <v>92</v>
      </c>
      <c r="U14" s="160" t="s">
        <v>92</v>
      </c>
      <c r="V14" s="160" t="s">
        <v>92</v>
      </c>
      <c r="W14" s="160" t="s">
        <v>92</v>
      </c>
      <c r="X14" s="160" t="s">
        <v>92</v>
      </c>
      <c r="Y14" s="160" t="s">
        <v>92</v>
      </c>
      <c r="Z14" s="160" t="s">
        <v>92</v>
      </c>
      <c r="AA14" s="160" t="s">
        <v>92</v>
      </c>
      <c r="AB14" s="160" t="s">
        <v>92</v>
      </c>
      <c r="AC14" s="160" t="s">
        <v>92</v>
      </c>
      <c r="AD14" s="160" t="s">
        <v>92</v>
      </c>
      <c r="AE14" s="160" t="s">
        <v>92</v>
      </c>
      <c r="AF14" s="160" t="s">
        <v>92</v>
      </c>
      <c r="AG14" s="160" t="s">
        <v>92</v>
      </c>
      <c r="AH14" s="160" t="s">
        <v>92</v>
      </c>
      <c r="AI14" s="160" t="s">
        <v>92</v>
      </c>
      <c r="AJ14" s="160" t="s">
        <v>92</v>
      </c>
      <c r="AK14" s="160" t="s">
        <v>92</v>
      </c>
      <c r="AL14" s="160" t="s">
        <v>92</v>
      </c>
      <c r="AM14" s="160" t="s">
        <v>92</v>
      </c>
      <c r="AN14" s="160" t="s">
        <v>92</v>
      </c>
      <c r="AO14" s="160" t="s">
        <v>92</v>
      </c>
    </row>
    <row r="15" spans="1:41" ht="26.1" customHeight="1" thickTop="1" thickBot="1" x14ac:dyDescent="0.3">
      <c r="A15" s="1" t="s">
        <v>89</v>
      </c>
      <c r="B15" s="17">
        <v>4</v>
      </c>
      <c r="C15" s="199" t="str">
        <f>VLOOKUP(B15,Começo!A:D,3,0)</f>
        <v>Física</v>
      </c>
      <c r="D15" s="199"/>
      <c r="E15" s="199"/>
      <c r="F15" s="199"/>
      <c r="G15" s="194">
        <f>IFERROR(COUNTIF(Tabela16[#This Row],"sim"),"")*Começo!D17+SUM(Tabela16[#This Row])</f>
        <v>0</v>
      </c>
      <c r="H15" s="194"/>
      <c r="I15" s="194"/>
      <c r="J15" s="194"/>
      <c r="K15" s="160" t="s">
        <v>92</v>
      </c>
      <c r="L15" s="160" t="s">
        <v>92</v>
      </c>
      <c r="M15" s="160" t="s">
        <v>92</v>
      </c>
      <c r="N15" s="160" t="s">
        <v>92</v>
      </c>
      <c r="O15" s="160" t="s">
        <v>92</v>
      </c>
      <c r="P15" s="160" t="s">
        <v>92</v>
      </c>
      <c r="Q15" s="160" t="s">
        <v>92</v>
      </c>
      <c r="R15" s="160" t="s">
        <v>92</v>
      </c>
      <c r="S15" s="160" t="s">
        <v>92</v>
      </c>
      <c r="T15" s="160" t="s">
        <v>92</v>
      </c>
      <c r="U15" s="160" t="s">
        <v>92</v>
      </c>
      <c r="V15" s="160" t="s">
        <v>92</v>
      </c>
      <c r="W15" s="160" t="s">
        <v>92</v>
      </c>
      <c r="X15" s="160" t="s">
        <v>92</v>
      </c>
      <c r="Y15" s="160" t="s">
        <v>92</v>
      </c>
      <c r="Z15" s="160" t="s">
        <v>92</v>
      </c>
      <c r="AA15" s="160" t="s">
        <v>92</v>
      </c>
      <c r="AB15" s="160" t="s">
        <v>92</v>
      </c>
      <c r="AC15" s="160" t="s">
        <v>92</v>
      </c>
      <c r="AD15" s="160" t="s">
        <v>92</v>
      </c>
      <c r="AE15" s="160" t="s">
        <v>92</v>
      </c>
      <c r="AF15" s="160" t="s">
        <v>92</v>
      </c>
      <c r="AG15" s="160" t="s">
        <v>92</v>
      </c>
      <c r="AH15" s="160" t="s">
        <v>92</v>
      </c>
      <c r="AI15" s="160" t="s">
        <v>92</v>
      </c>
      <c r="AJ15" s="160" t="s">
        <v>92</v>
      </c>
      <c r="AK15" s="160" t="s">
        <v>92</v>
      </c>
      <c r="AL15" s="160" t="s">
        <v>92</v>
      </c>
      <c r="AM15" s="160" t="s">
        <v>92</v>
      </c>
      <c r="AN15" s="160" t="s">
        <v>92</v>
      </c>
      <c r="AO15" s="160" t="s">
        <v>92</v>
      </c>
    </row>
    <row r="16" spans="1:41" ht="26.1" customHeight="1" thickTop="1" thickBot="1" x14ac:dyDescent="0.3">
      <c r="A16" s="1" t="s">
        <v>89</v>
      </c>
      <c r="B16" s="17">
        <v>5</v>
      </c>
      <c r="C16" s="199" t="str">
        <f>VLOOKUP(B16,Começo!A:D,3,0)</f>
        <v>Quimíca</v>
      </c>
      <c r="D16" s="199"/>
      <c r="E16" s="199"/>
      <c r="F16" s="199"/>
      <c r="G16" s="194">
        <f>IFERROR(COUNTIF(Tabela16[#This Row],"sim"),"")*Começo!D18+SUM(Tabela16[#This Row])</f>
        <v>0</v>
      </c>
      <c r="H16" s="194"/>
      <c r="I16" s="194"/>
      <c r="J16" s="194"/>
      <c r="K16" s="160" t="s">
        <v>92</v>
      </c>
      <c r="L16" s="160" t="s">
        <v>92</v>
      </c>
      <c r="M16" s="160" t="s">
        <v>92</v>
      </c>
      <c r="N16" s="160" t="s">
        <v>92</v>
      </c>
      <c r="O16" s="160" t="s">
        <v>92</v>
      </c>
      <c r="P16" s="160" t="s">
        <v>92</v>
      </c>
      <c r="Q16" s="160" t="s">
        <v>92</v>
      </c>
      <c r="R16" s="160" t="s">
        <v>92</v>
      </c>
      <c r="S16" s="160" t="s">
        <v>92</v>
      </c>
      <c r="T16" s="160" t="s">
        <v>92</v>
      </c>
      <c r="U16" s="160" t="s">
        <v>92</v>
      </c>
      <c r="V16" s="160" t="s">
        <v>92</v>
      </c>
      <c r="W16" s="160" t="s">
        <v>92</v>
      </c>
      <c r="X16" s="160" t="s">
        <v>92</v>
      </c>
      <c r="Y16" s="160" t="s">
        <v>92</v>
      </c>
      <c r="Z16" s="160" t="s">
        <v>92</v>
      </c>
      <c r="AA16" s="160" t="s">
        <v>92</v>
      </c>
      <c r="AB16" s="160" t="s">
        <v>92</v>
      </c>
      <c r="AC16" s="160" t="s">
        <v>92</v>
      </c>
      <c r="AD16" s="160" t="s">
        <v>92</v>
      </c>
      <c r="AE16" s="160" t="s">
        <v>92</v>
      </c>
      <c r="AF16" s="160" t="s">
        <v>92</v>
      </c>
      <c r="AG16" s="160" t="s">
        <v>92</v>
      </c>
      <c r="AH16" s="160" t="s">
        <v>92</v>
      </c>
      <c r="AI16" s="160" t="s">
        <v>92</v>
      </c>
      <c r="AJ16" s="160" t="s">
        <v>92</v>
      </c>
      <c r="AK16" s="160" t="s">
        <v>92</v>
      </c>
      <c r="AL16" s="160" t="s">
        <v>92</v>
      </c>
      <c r="AM16" s="160" t="s">
        <v>92</v>
      </c>
      <c r="AN16" s="160" t="s">
        <v>92</v>
      </c>
      <c r="AO16" s="160" t="s">
        <v>92</v>
      </c>
    </row>
    <row r="17" spans="1:41" ht="26.1" customHeight="1" thickTop="1" thickBot="1" x14ac:dyDescent="0.3">
      <c r="A17" s="1" t="s">
        <v>89</v>
      </c>
      <c r="B17" s="17">
        <v>6</v>
      </c>
      <c r="C17" s="199" t="str">
        <f>VLOOKUP(B17,Começo!A:D,3,0)</f>
        <v>Legislação</v>
      </c>
      <c r="D17" s="199"/>
      <c r="E17" s="199"/>
      <c r="F17" s="199"/>
      <c r="G17" s="194">
        <f>IFERROR(COUNTIF(Tabela16[#This Row],"sim"),"")*Começo!D19+SUM(Tabela16[#This Row])</f>
        <v>0</v>
      </c>
      <c r="H17" s="194"/>
      <c r="I17" s="194"/>
      <c r="J17" s="194"/>
      <c r="K17" s="160" t="s">
        <v>92</v>
      </c>
      <c r="L17" s="160" t="s">
        <v>92</v>
      </c>
      <c r="M17" s="160" t="s">
        <v>92</v>
      </c>
      <c r="N17" s="160" t="s">
        <v>92</v>
      </c>
      <c r="O17" s="160" t="s">
        <v>92</v>
      </c>
      <c r="P17" s="160" t="s">
        <v>92</v>
      </c>
      <c r="Q17" s="160" t="s">
        <v>92</v>
      </c>
      <c r="R17" s="160" t="s">
        <v>92</v>
      </c>
      <c r="S17" s="160" t="s">
        <v>92</v>
      </c>
      <c r="T17" s="160" t="s">
        <v>92</v>
      </c>
      <c r="U17" s="160" t="s">
        <v>92</v>
      </c>
      <c r="V17" s="160" t="s">
        <v>92</v>
      </c>
      <c r="W17" s="160" t="s">
        <v>92</v>
      </c>
      <c r="X17" s="160" t="s">
        <v>92</v>
      </c>
      <c r="Y17" s="160" t="s">
        <v>92</v>
      </c>
      <c r="Z17" s="160" t="s">
        <v>92</v>
      </c>
      <c r="AA17" s="160" t="s">
        <v>92</v>
      </c>
      <c r="AB17" s="160" t="s">
        <v>92</v>
      </c>
      <c r="AC17" s="160" t="s">
        <v>92</v>
      </c>
      <c r="AD17" s="160" t="s">
        <v>92</v>
      </c>
      <c r="AE17" s="160" t="s">
        <v>92</v>
      </c>
      <c r="AF17" s="160" t="s">
        <v>92</v>
      </c>
      <c r="AG17" s="160" t="s">
        <v>92</v>
      </c>
      <c r="AH17" s="160" t="s">
        <v>92</v>
      </c>
      <c r="AI17" s="160" t="s">
        <v>92</v>
      </c>
      <c r="AJ17" s="160" t="s">
        <v>92</v>
      </c>
      <c r="AK17" s="160" t="s">
        <v>92</v>
      </c>
      <c r="AL17" s="160" t="s">
        <v>92</v>
      </c>
      <c r="AM17" s="160" t="s">
        <v>92</v>
      </c>
      <c r="AN17" s="160" t="s">
        <v>92</v>
      </c>
      <c r="AO17" s="160" t="s">
        <v>92</v>
      </c>
    </row>
    <row r="18" spans="1:41" ht="26.1" customHeight="1" thickTop="1" thickBot="1" x14ac:dyDescent="0.3">
      <c r="A18" s="1" t="s">
        <v>89</v>
      </c>
      <c r="B18" s="17">
        <v>7</v>
      </c>
      <c r="C18" s="199" t="str">
        <f>VLOOKUP(B18,Começo!A:D,3,0)</f>
        <v>Processo Penal</v>
      </c>
      <c r="D18" s="199"/>
      <c r="E18" s="199"/>
      <c r="F18" s="199"/>
      <c r="G18" s="194">
        <f>IFERROR(COUNTIF(Tabela16[#This Row],"sim"),"")*Começo!D20+SUM(Tabela16[#This Row])</f>
        <v>0</v>
      </c>
      <c r="H18" s="194"/>
      <c r="I18" s="194"/>
      <c r="J18" s="194"/>
      <c r="K18" s="160" t="s">
        <v>92</v>
      </c>
      <c r="L18" s="160" t="s">
        <v>92</v>
      </c>
      <c r="M18" s="160" t="s">
        <v>92</v>
      </c>
      <c r="N18" s="160" t="s">
        <v>92</v>
      </c>
      <c r="O18" s="160" t="s">
        <v>92</v>
      </c>
      <c r="P18" s="160" t="s">
        <v>92</v>
      </c>
      <c r="Q18" s="160" t="s">
        <v>92</v>
      </c>
      <c r="R18" s="160" t="s">
        <v>92</v>
      </c>
      <c r="S18" s="160" t="s">
        <v>92</v>
      </c>
      <c r="T18" s="160" t="s">
        <v>92</v>
      </c>
      <c r="U18" s="160" t="s">
        <v>92</v>
      </c>
      <c r="V18" s="160" t="s">
        <v>92</v>
      </c>
      <c r="W18" s="160" t="s">
        <v>92</v>
      </c>
      <c r="X18" s="160" t="s">
        <v>92</v>
      </c>
      <c r="Y18" s="160" t="s">
        <v>92</v>
      </c>
      <c r="Z18" s="160" t="s">
        <v>92</v>
      </c>
      <c r="AA18" s="160" t="s">
        <v>92</v>
      </c>
      <c r="AB18" s="160" t="s">
        <v>92</v>
      </c>
      <c r="AC18" s="160" t="s">
        <v>92</v>
      </c>
      <c r="AD18" s="160" t="s">
        <v>92</v>
      </c>
      <c r="AE18" s="160" t="s">
        <v>92</v>
      </c>
      <c r="AF18" s="160" t="s">
        <v>92</v>
      </c>
      <c r="AG18" s="160" t="s">
        <v>92</v>
      </c>
      <c r="AH18" s="160" t="s">
        <v>92</v>
      </c>
      <c r="AI18" s="160" t="s">
        <v>92</v>
      </c>
      <c r="AJ18" s="160" t="s">
        <v>92</v>
      </c>
      <c r="AK18" s="160" t="s">
        <v>92</v>
      </c>
      <c r="AL18" s="160" t="s">
        <v>92</v>
      </c>
      <c r="AM18" s="160" t="s">
        <v>92</v>
      </c>
      <c r="AN18" s="160" t="s">
        <v>92</v>
      </c>
      <c r="AO18" s="160" t="s">
        <v>92</v>
      </c>
    </row>
    <row r="19" spans="1:41" ht="26.1" customHeight="1" thickTop="1" thickBot="1" x14ac:dyDescent="0.3">
      <c r="A19" s="1" t="s">
        <v>89</v>
      </c>
      <c r="B19" s="17">
        <v>8</v>
      </c>
      <c r="C19" s="199" t="str">
        <f>VLOOKUP(B19,Começo!A:D,3,0)</f>
        <v>Direito Administrativo</v>
      </c>
      <c r="D19" s="199"/>
      <c r="E19" s="199"/>
      <c r="F19" s="199"/>
      <c r="G19" s="194">
        <f>IFERROR(COUNTIF(Tabela16[#This Row],"sim"),"")*Começo!D21+SUM(Tabela16[#This Row])</f>
        <v>0</v>
      </c>
      <c r="H19" s="194"/>
      <c r="I19" s="194"/>
      <c r="J19" s="194"/>
      <c r="K19" s="160" t="s">
        <v>92</v>
      </c>
      <c r="L19" s="160" t="s">
        <v>92</v>
      </c>
      <c r="M19" s="160" t="s">
        <v>92</v>
      </c>
      <c r="N19" s="160" t="s">
        <v>92</v>
      </c>
      <c r="O19" s="160" t="s">
        <v>92</v>
      </c>
      <c r="P19" s="160" t="s">
        <v>92</v>
      </c>
      <c r="Q19" s="160" t="s">
        <v>92</v>
      </c>
      <c r="R19" s="160" t="s">
        <v>92</v>
      </c>
      <c r="S19" s="160" t="s">
        <v>92</v>
      </c>
      <c r="T19" s="160" t="s">
        <v>92</v>
      </c>
      <c r="U19" s="160" t="s">
        <v>92</v>
      </c>
      <c r="V19" s="160" t="s">
        <v>92</v>
      </c>
      <c r="W19" s="160" t="s">
        <v>92</v>
      </c>
      <c r="X19" s="160" t="s">
        <v>92</v>
      </c>
      <c r="Y19" s="160" t="s">
        <v>92</v>
      </c>
      <c r="Z19" s="160" t="s">
        <v>92</v>
      </c>
      <c r="AA19" s="160" t="s">
        <v>92</v>
      </c>
      <c r="AB19" s="160" t="s">
        <v>92</v>
      </c>
      <c r="AC19" s="160" t="s">
        <v>92</v>
      </c>
      <c r="AD19" s="160" t="s">
        <v>92</v>
      </c>
      <c r="AE19" s="160" t="s">
        <v>92</v>
      </c>
      <c r="AF19" s="160" t="s">
        <v>92</v>
      </c>
      <c r="AG19" s="160" t="s">
        <v>92</v>
      </c>
      <c r="AH19" s="160" t="s">
        <v>92</v>
      </c>
      <c r="AI19" s="160" t="s">
        <v>92</v>
      </c>
      <c r="AJ19" s="160" t="s">
        <v>92</v>
      </c>
      <c r="AK19" s="160" t="s">
        <v>92</v>
      </c>
      <c r="AL19" s="160" t="s">
        <v>92</v>
      </c>
      <c r="AM19" s="160" t="s">
        <v>92</v>
      </c>
      <c r="AN19" s="160" t="s">
        <v>92</v>
      </c>
      <c r="AO19" s="160" t="s">
        <v>92</v>
      </c>
    </row>
    <row r="20" spans="1:41" ht="26.1" customHeight="1" thickTop="1" thickBot="1" x14ac:dyDescent="0.3">
      <c r="A20" s="1" t="s">
        <v>89</v>
      </c>
      <c r="B20" s="17">
        <v>9</v>
      </c>
      <c r="C20" s="199" t="str">
        <f>VLOOKUP(B20,Começo!A:D,3,0)</f>
        <v>Direito Tributário</v>
      </c>
      <c r="D20" s="199"/>
      <c r="E20" s="199"/>
      <c r="F20" s="199"/>
      <c r="G20" s="194">
        <f>IFERROR(COUNTIF(Tabela16[#This Row],"sim"),"")*Começo!D22+SUM(Tabela16[#This Row])</f>
        <v>0</v>
      </c>
      <c r="H20" s="194"/>
      <c r="I20" s="194"/>
      <c r="J20" s="194"/>
      <c r="K20" s="160" t="s">
        <v>92</v>
      </c>
      <c r="L20" s="160" t="s">
        <v>92</v>
      </c>
      <c r="M20" s="160" t="s">
        <v>92</v>
      </c>
      <c r="N20" s="160" t="s">
        <v>92</v>
      </c>
      <c r="O20" s="160" t="s">
        <v>92</v>
      </c>
      <c r="P20" s="160" t="s">
        <v>92</v>
      </c>
      <c r="Q20" s="160" t="s">
        <v>92</v>
      </c>
      <c r="R20" s="160" t="s">
        <v>92</v>
      </c>
      <c r="S20" s="160" t="s">
        <v>92</v>
      </c>
      <c r="T20" s="160" t="s">
        <v>92</v>
      </c>
      <c r="U20" s="160" t="s">
        <v>92</v>
      </c>
      <c r="V20" s="160" t="s">
        <v>92</v>
      </c>
      <c r="W20" s="160" t="s">
        <v>92</v>
      </c>
      <c r="X20" s="160" t="s">
        <v>92</v>
      </c>
      <c r="Y20" s="160" t="s">
        <v>92</v>
      </c>
      <c r="Z20" s="160" t="s">
        <v>92</v>
      </c>
      <c r="AA20" s="160" t="s">
        <v>92</v>
      </c>
      <c r="AB20" s="160" t="s">
        <v>92</v>
      </c>
      <c r="AC20" s="160" t="s">
        <v>92</v>
      </c>
      <c r="AD20" s="160" t="s">
        <v>92</v>
      </c>
      <c r="AE20" s="160" t="s">
        <v>92</v>
      </c>
      <c r="AF20" s="160" t="s">
        <v>92</v>
      </c>
      <c r="AG20" s="160" t="s">
        <v>92</v>
      </c>
      <c r="AH20" s="160" t="s">
        <v>92</v>
      </c>
      <c r="AI20" s="160" t="s">
        <v>92</v>
      </c>
      <c r="AJ20" s="160" t="s">
        <v>92</v>
      </c>
      <c r="AK20" s="160" t="s">
        <v>92</v>
      </c>
      <c r="AL20" s="160" t="s">
        <v>92</v>
      </c>
      <c r="AM20" s="160" t="s">
        <v>92</v>
      </c>
      <c r="AN20" s="160" t="s">
        <v>92</v>
      </c>
      <c r="AO20" s="160" t="s">
        <v>92</v>
      </c>
    </row>
    <row r="21" spans="1:41" ht="26.1" customHeight="1" thickTop="1" thickBot="1" x14ac:dyDescent="0.3">
      <c r="A21" s="1" t="s">
        <v>89</v>
      </c>
      <c r="B21" s="17">
        <v>10</v>
      </c>
      <c r="C21" s="199" t="str">
        <f>VLOOKUP(B21,Começo!A:D,3,0)</f>
        <v>Inglês</v>
      </c>
      <c r="D21" s="199"/>
      <c r="E21" s="199"/>
      <c r="F21" s="199"/>
      <c r="G21" s="194">
        <f>IFERROR(COUNTIF(Tabela16[#This Row],"sim"),"")*Começo!D23+SUM(Tabela16[#This Row])</f>
        <v>0</v>
      </c>
      <c r="H21" s="194"/>
      <c r="I21" s="194"/>
      <c r="J21" s="194"/>
      <c r="K21" s="160" t="s">
        <v>92</v>
      </c>
      <c r="L21" s="160" t="s">
        <v>92</v>
      </c>
      <c r="M21" s="160" t="s">
        <v>92</v>
      </c>
      <c r="N21" s="160" t="s">
        <v>92</v>
      </c>
      <c r="O21" s="160" t="s">
        <v>92</v>
      </c>
      <c r="P21" s="160" t="s">
        <v>92</v>
      </c>
      <c r="Q21" s="160" t="s">
        <v>92</v>
      </c>
      <c r="R21" s="160" t="s">
        <v>92</v>
      </c>
      <c r="S21" s="160" t="s">
        <v>92</v>
      </c>
      <c r="T21" s="160" t="s">
        <v>92</v>
      </c>
      <c r="U21" s="160" t="s">
        <v>92</v>
      </c>
      <c r="V21" s="160" t="s">
        <v>92</v>
      </c>
      <c r="W21" s="160" t="s">
        <v>92</v>
      </c>
      <c r="X21" s="160" t="s">
        <v>92</v>
      </c>
      <c r="Y21" s="160" t="s">
        <v>92</v>
      </c>
      <c r="Z21" s="160" t="s">
        <v>92</v>
      </c>
      <c r="AA21" s="160" t="s">
        <v>92</v>
      </c>
      <c r="AB21" s="160" t="s">
        <v>92</v>
      </c>
      <c r="AC21" s="160" t="s">
        <v>92</v>
      </c>
      <c r="AD21" s="160" t="s">
        <v>92</v>
      </c>
      <c r="AE21" s="160" t="s">
        <v>92</v>
      </c>
      <c r="AF21" s="160" t="s">
        <v>92</v>
      </c>
      <c r="AG21" s="160" t="s">
        <v>92</v>
      </c>
      <c r="AH21" s="160" t="s">
        <v>92</v>
      </c>
      <c r="AI21" s="160" t="s">
        <v>92</v>
      </c>
      <c r="AJ21" s="160" t="s">
        <v>92</v>
      </c>
      <c r="AK21" s="160" t="s">
        <v>92</v>
      </c>
      <c r="AL21" s="160" t="s">
        <v>92</v>
      </c>
      <c r="AM21" s="160" t="s">
        <v>92</v>
      </c>
      <c r="AN21" s="160" t="s">
        <v>92</v>
      </c>
      <c r="AO21" s="160" t="s">
        <v>92</v>
      </c>
    </row>
    <row r="22" spans="1:41" ht="26.1" customHeight="1" thickTop="1" thickBot="1" x14ac:dyDescent="0.3">
      <c r="A22" s="1" t="s">
        <v>89</v>
      </c>
      <c r="B22" s="17">
        <v>11</v>
      </c>
      <c r="C22" s="199" t="str">
        <f>VLOOKUP(B22,Começo!A:D,3,0)</f>
        <v>Análise de Sistemas</v>
      </c>
      <c r="D22" s="199"/>
      <c r="E22" s="199"/>
      <c r="F22" s="199"/>
      <c r="G22" s="194">
        <f>IFERROR(COUNTIF(Tabela16[#This Row],"sim"),"")*Começo!D24+SUM(Tabela16[#This Row])</f>
        <v>0</v>
      </c>
      <c r="H22" s="194"/>
      <c r="I22" s="194"/>
      <c r="J22" s="194"/>
      <c r="K22" s="160" t="s">
        <v>92</v>
      </c>
      <c r="L22" s="160" t="s">
        <v>92</v>
      </c>
      <c r="M22" s="160" t="s">
        <v>92</v>
      </c>
      <c r="N22" s="160" t="s">
        <v>92</v>
      </c>
      <c r="O22" s="160" t="s">
        <v>92</v>
      </c>
      <c r="P22" s="160" t="s">
        <v>92</v>
      </c>
      <c r="Q22" s="160" t="s">
        <v>92</v>
      </c>
      <c r="R22" s="160" t="s">
        <v>92</v>
      </c>
      <c r="S22" s="160" t="s">
        <v>92</v>
      </c>
      <c r="T22" s="160" t="s">
        <v>92</v>
      </c>
      <c r="U22" s="160" t="s">
        <v>92</v>
      </c>
      <c r="V22" s="160" t="s">
        <v>92</v>
      </c>
      <c r="W22" s="160" t="s">
        <v>92</v>
      </c>
      <c r="X22" s="160" t="s">
        <v>92</v>
      </c>
      <c r="Y22" s="160" t="s">
        <v>92</v>
      </c>
      <c r="Z22" s="160" t="s">
        <v>92</v>
      </c>
      <c r="AA22" s="160" t="s">
        <v>92</v>
      </c>
      <c r="AB22" s="160" t="s">
        <v>92</v>
      </c>
      <c r="AC22" s="160" t="s">
        <v>92</v>
      </c>
      <c r="AD22" s="160" t="s">
        <v>92</v>
      </c>
      <c r="AE22" s="160" t="s">
        <v>92</v>
      </c>
      <c r="AF22" s="160" t="s">
        <v>92</v>
      </c>
      <c r="AG22" s="160" t="s">
        <v>92</v>
      </c>
      <c r="AH22" s="160" t="s">
        <v>92</v>
      </c>
      <c r="AI22" s="160" t="s">
        <v>92</v>
      </c>
      <c r="AJ22" s="160" t="s">
        <v>92</v>
      </c>
      <c r="AK22" s="160" t="s">
        <v>92</v>
      </c>
      <c r="AL22" s="160" t="s">
        <v>92</v>
      </c>
      <c r="AM22" s="160" t="s">
        <v>92</v>
      </c>
      <c r="AN22" s="160" t="s">
        <v>92</v>
      </c>
      <c r="AO22" s="160" t="s">
        <v>92</v>
      </c>
    </row>
    <row r="23" spans="1:41" ht="26.1" customHeight="1" thickTop="1" thickBot="1" x14ac:dyDescent="0.3">
      <c r="A23" s="1" t="s">
        <v>89</v>
      </c>
      <c r="B23" s="17">
        <v>12</v>
      </c>
      <c r="C23" s="199" t="str">
        <f>VLOOKUP(B23,Começo!A:D,3,0)</f>
        <v>Direito Legislativo</v>
      </c>
      <c r="D23" s="199"/>
      <c r="E23" s="199"/>
      <c r="F23" s="199"/>
      <c r="G23" s="194">
        <f>IFERROR(COUNTIF(Tabela16[#This Row],"sim"),"")*Começo!D25+SUM(Tabela16[#This Row])</f>
        <v>0</v>
      </c>
      <c r="H23" s="194"/>
      <c r="I23" s="194"/>
      <c r="J23" s="194"/>
      <c r="K23" s="160" t="s">
        <v>92</v>
      </c>
      <c r="L23" s="160" t="s">
        <v>92</v>
      </c>
      <c r="M23" s="160" t="s">
        <v>92</v>
      </c>
      <c r="N23" s="160" t="s">
        <v>92</v>
      </c>
      <c r="O23" s="160" t="s">
        <v>92</v>
      </c>
      <c r="P23" s="160" t="s">
        <v>92</v>
      </c>
      <c r="Q23" s="160" t="s">
        <v>92</v>
      </c>
      <c r="R23" s="160" t="s">
        <v>92</v>
      </c>
      <c r="S23" s="160" t="s">
        <v>92</v>
      </c>
      <c r="T23" s="160" t="s">
        <v>92</v>
      </c>
      <c r="U23" s="160" t="s">
        <v>92</v>
      </c>
      <c r="V23" s="160" t="s">
        <v>92</v>
      </c>
      <c r="W23" s="160" t="s">
        <v>92</v>
      </c>
      <c r="X23" s="160" t="s">
        <v>92</v>
      </c>
      <c r="Y23" s="160" t="s">
        <v>92</v>
      </c>
      <c r="Z23" s="160" t="s">
        <v>92</v>
      </c>
      <c r="AA23" s="160" t="s">
        <v>92</v>
      </c>
      <c r="AB23" s="160" t="s">
        <v>92</v>
      </c>
      <c r="AC23" s="160" t="s">
        <v>92</v>
      </c>
      <c r="AD23" s="160" t="s">
        <v>92</v>
      </c>
      <c r="AE23" s="160" t="s">
        <v>92</v>
      </c>
      <c r="AF23" s="160" t="s">
        <v>92</v>
      </c>
      <c r="AG23" s="160" t="s">
        <v>92</v>
      </c>
      <c r="AH23" s="160" t="s">
        <v>92</v>
      </c>
      <c r="AI23" s="160" t="s">
        <v>92</v>
      </c>
      <c r="AJ23" s="160" t="s">
        <v>92</v>
      </c>
      <c r="AK23" s="160" t="s">
        <v>92</v>
      </c>
      <c r="AL23" s="160" t="s">
        <v>92</v>
      </c>
      <c r="AM23" s="160" t="s">
        <v>92</v>
      </c>
      <c r="AN23" s="160" t="s">
        <v>92</v>
      </c>
      <c r="AO23" s="160" t="s">
        <v>92</v>
      </c>
    </row>
    <row r="24" spans="1:41" ht="26.1" customHeight="1" thickTop="1" thickBot="1" x14ac:dyDescent="0.3">
      <c r="A24" s="1" t="s">
        <v>89</v>
      </c>
      <c r="B24" s="17">
        <v>13</v>
      </c>
      <c r="C24" s="199" t="str">
        <f>VLOOKUP(B24,Começo!A:D,3,0)</f>
        <v>Mecânica dos Fluídos</v>
      </c>
      <c r="D24" s="199"/>
      <c r="E24" s="199"/>
      <c r="F24" s="199"/>
      <c r="G24" s="194">
        <f>IFERROR(COUNTIF(Tabela16[#This Row],"sim"),"")*Começo!D26+SUM(Tabela16[#This Row])</f>
        <v>0</v>
      </c>
      <c r="H24" s="194"/>
      <c r="I24" s="194"/>
      <c r="J24" s="194"/>
      <c r="K24" s="160" t="s">
        <v>92</v>
      </c>
      <c r="L24" s="160" t="s">
        <v>92</v>
      </c>
      <c r="M24" s="160" t="s">
        <v>92</v>
      </c>
      <c r="N24" s="160" t="s">
        <v>92</v>
      </c>
      <c r="O24" s="160" t="s">
        <v>92</v>
      </c>
      <c r="P24" s="160" t="s">
        <v>92</v>
      </c>
      <c r="Q24" s="160" t="s">
        <v>92</v>
      </c>
      <c r="R24" s="160" t="s">
        <v>92</v>
      </c>
      <c r="S24" s="160" t="s">
        <v>92</v>
      </c>
      <c r="T24" s="160" t="s">
        <v>92</v>
      </c>
      <c r="U24" s="160" t="s">
        <v>92</v>
      </c>
      <c r="V24" s="160" t="s">
        <v>92</v>
      </c>
      <c r="W24" s="160" t="s">
        <v>92</v>
      </c>
      <c r="X24" s="160" t="s">
        <v>92</v>
      </c>
      <c r="Y24" s="160" t="s">
        <v>92</v>
      </c>
      <c r="Z24" s="160" t="s">
        <v>92</v>
      </c>
      <c r="AA24" s="160" t="s">
        <v>92</v>
      </c>
      <c r="AB24" s="160" t="s">
        <v>92</v>
      </c>
      <c r="AC24" s="160" t="s">
        <v>92</v>
      </c>
      <c r="AD24" s="160" t="s">
        <v>92</v>
      </c>
      <c r="AE24" s="160" t="s">
        <v>92</v>
      </c>
      <c r="AF24" s="160" t="s">
        <v>92</v>
      </c>
      <c r="AG24" s="160" t="s">
        <v>92</v>
      </c>
      <c r="AH24" s="160" t="s">
        <v>92</v>
      </c>
      <c r="AI24" s="160" t="s">
        <v>92</v>
      </c>
      <c r="AJ24" s="160" t="s">
        <v>92</v>
      </c>
      <c r="AK24" s="160" t="s">
        <v>92</v>
      </c>
      <c r="AL24" s="160" t="s">
        <v>92</v>
      </c>
      <c r="AM24" s="160" t="s">
        <v>92</v>
      </c>
      <c r="AN24" s="160" t="s">
        <v>92</v>
      </c>
      <c r="AO24" s="160" t="s">
        <v>92</v>
      </c>
    </row>
    <row r="25" spans="1:41" ht="26.1" customHeight="1" thickTop="1" thickBot="1" x14ac:dyDescent="0.3">
      <c r="A25" s="1" t="s">
        <v>89</v>
      </c>
      <c r="B25" s="17">
        <v>14</v>
      </c>
      <c r="C25" s="199" t="str">
        <f>VLOOKUP(B25,Começo!A:D,3,0)</f>
        <v>IoT</v>
      </c>
      <c r="D25" s="199"/>
      <c r="E25" s="199"/>
      <c r="F25" s="199"/>
      <c r="G25" s="194">
        <f>IFERROR(COUNTIF(Tabela16[#This Row],"sim"),"")*Começo!D27+SUM(Tabela16[#This Row])</f>
        <v>0</v>
      </c>
      <c r="H25" s="194"/>
      <c r="I25" s="194"/>
      <c r="J25" s="194"/>
      <c r="K25" s="160" t="s">
        <v>92</v>
      </c>
      <c r="L25" s="160" t="s">
        <v>92</v>
      </c>
      <c r="M25" s="160" t="s">
        <v>92</v>
      </c>
      <c r="N25" s="160" t="s">
        <v>92</v>
      </c>
      <c r="O25" s="160" t="s">
        <v>92</v>
      </c>
      <c r="P25" s="160" t="s">
        <v>92</v>
      </c>
      <c r="Q25" s="160" t="s">
        <v>92</v>
      </c>
      <c r="R25" s="160" t="s">
        <v>92</v>
      </c>
      <c r="S25" s="160" t="s">
        <v>92</v>
      </c>
      <c r="T25" s="160" t="s">
        <v>92</v>
      </c>
      <c r="U25" s="160" t="s">
        <v>92</v>
      </c>
      <c r="V25" s="160" t="s">
        <v>92</v>
      </c>
      <c r="W25" s="160" t="s">
        <v>92</v>
      </c>
      <c r="X25" s="160" t="s">
        <v>92</v>
      </c>
      <c r="Y25" s="160" t="s">
        <v>92</v>
      </c>
      <c r="Z25" s="160" t="s">
        <v>92</v>
      </c>
      <c r="AA25" s="160" t="s">
        <v>92</v>
      </c>
      <c r="AB25" s="160" t="s">
        <v>92</v>
      </c>
      <c r="AC25" s="160" t="s">
        <v>92</v>
      </c>
      <c r="AD25" s="160" t="s">
        <v>92</v>
      </c>
      <c r="AE25" s="160" t="s">
        <v>92</v>
      </c>
      <c r="AF25" s="160" t="s">
        <v>92</v>
      </c>
      <c r="AG25" s="160" t="s">
        <v>92</v>
      </c>
      <c r="AH25" s="160" t="s">
        <v>92</v>
      </c>
      <c r="AI25" s="160" t="s">
        <v>92</v>
      </c>
      <c r="AJ25" s="160" t="s">
        <v>92</v>
      </c>
      <c r="AK25" s="160" t="s">
        <v>92</v>
      </c>
      <c r="AL25" s="160" t="s">
        <v>92</v>
      </c>
      <c r="AM25" s="160" t="s">
        <v>92</v>
      </c>
      <c r="AN25" s="160" t="s">
        <v>92</v>
      </c>
      <c r="AO25" s="160" t="s">
        <v>92</v>
      </c>
    </row>
    <row r="26" spans="1:41" ht="26.1" customHeight="1" thickTop="1" thickBot="1" x14ac:dyDescent="0.3">
      <c r="A26" s="1" t="s">
        <v>89</v>
      </c>
      <c r="B26" s="17">
        <v>15</v>
      </c>
      <c r="C26" s="199" t="str">
        <f>VLOOKUP(B26,Começo!A:D,3,0)</f>
        <v>Astrologia</v>
      </c>
      <c r="D26" s="199"/>
      <c r="E26" s="199"/>
      <c r="F26" s="199"/>
      <c r="G26" s="194">
        <f>IFERROR(COUNTIF(Tabela16[#This Row],"sim"),"")*Começo!D28+SUM(Tabela16[#This Row])</f>
        <v>0</v>
      </c>
      <c r="H26" s="194"/>
      <c r="I26" s="194"/>
      <c r="J26" s="194"/>
      <c r="K26" s="160" t="s">
        <v>92</v>
      </c>
      <c r="L26" s="160" t="s">
        <v>92</v>
      </c>
      <c r="M26" s="160" t="s">
        <v>92</v>
      </c>
      <c r="N26" s="160" t="s">
        <v>92</v>
      </c>
      <c r="O26" s="160" t="s">
        <v>92</v>
      </c>
      <c r="P26" s="160" t="s">
        <v>92</v>
      </c>
      <c r="Q26" s="160" t="s">
        <v>92</v>
      </c>
      <c r="R26" s="160" t="s">
        <v>92</v>
      </c>
      <c r="S26" s="160" t="s">
        <v>92</v>
      </c>
      <c r="T26" s="160" t="s">
        <v>92</v>
      </c>
      <c r="U26" s="160" t="s">
        <v>92</v>
      </c>
      <c r="V26" s="160" t="s">
        <v>92</v>
      </c>
      <c r="W26" s="160" t="s">
        <v>92</v>
      </c>
      <c r="X26" s="160" t="s">
        <v>92</v>
      </c>
      <c r="Y26" s="160" t="s">
        <v>92</v>
      </c>
      <c r="Z26" s="160" t="s">
        <v>92</v>
      </c>
      <c r="AA26" s="160" t="s">
        <v>92</v>
      </c>
      <c r="AB26" s="160" t="s">
        <v>92</v>
      </c>
      <c r="AC26" s="160" t="s">
        <v>92</v>
      </c>
      <c r="AD26" s="160" t="s">
        <v>92</v>
      </c>
      <c r="AE26" s="160" t="s">
        <v>92</v>
      </c>
      <c r="AF26" s="160" t="s">
        <v>92</v>
      </c>
      <c r="AG26" s="160" t="s">
        <v>92</v>
      </c>
      <c r="AH26" s="160" t="s">
        <v>92</v>
      </c>
      <c r="AI26" s="160" t="s">
        <v>92</v>
      </c>
      <c r="AJ26" s="160" t="s">
        <v>92</v>
      </c>
      <c r="AK26" s="160" t="s">
        <v>92</v>
      </c>
      <c r="AL26" s="160" t="s">
        <v>92</v>
      </c>
      <c r="AM26" s="160" t="s">
        <v>92</v>
      </c>
      <c r="AN26" s="160" t="s">
        <v>92</v>
      </c>
      <c r="AO26" s="160" t="s">
        <v>92</v>
      </c>
    </row>
    <row r="27" spans="1:41" ht="26.1" customHeight="1" thickTop="1" thickBot="1" x14ac:dyDescent="0.3">
      <c r="A27" s="1" t="s">
        <v>89</v>
      </c>
      <c r="B27" s="17">
        <v>16</v>
      </c>
      <c r="C27" s="199" t="str">
        <f>VLOOKUP(B27,Começo!A:D,3,0)</f>
        <v>Colorimetria</v>
      </c>
      <c r="D27" s="199"/>
      <c r="E27" s="199"/>
      <c r="F27" s="199"/>
      <c r="G27" s="194">
        <f>IFERROR(COUNTIF(Tabela16[#This Row],"sim"),"")*Começo!D29+SUM(Tabela16[#This Row])</f>
        <v>0</v>
      </c>
      <c r="H27" s="194"/>
      <c r="I27" s="194"/>
      <c r="J27" s="194"/>
      <c r="K27" s="160" t="s">
        <v>92</v>
      </c>
      <c r="L27" s="160" t="s">
        <v>92</v>
      </c>
      <c r="M27" s="160" t="s">
        <v>92</v>
      </c>
      <c r="N27" s="160" t="s">
        <v>92</v>
      </c>
      <c r="O27" s="160" t="s">
        <v>92</v>
      </c>
      <c r="P27" s="160" t="s">
        <v>92</v>
      </c>
      <c r="Q27" s="160" t="s">
        <v>92</v>
      </c>
      <c r="R27" s="160" t="s">
        <v>92</v>
      </c>
      <c r="S27" s="160" t="s">
        <v>92</v>
      </c>
      <c r="T27" s="160" t="s">
        <v>92</v>
      </c>
      <c r="U27" s="160" t="s">
        <v>92</v>
      </c>
      <c r="V27" s="160" t="s">
        <v>92</v>
      </c>
      <c r="W27" s="160" t="s">
        <v>92</v>
      </c>
      <c r="X27" s="160" t="s">
        <v>92</v>
      </c>
      <c r="Y27" s="160" t="s">
        <v>92</v>
      </c>
      <c r="Z27" s="160" t="s">
        <v>92</v>
      </c>
      <c r="AA27" s="160" t="s">
        <v>92</v>
      </c>
      <c r="AB27" s="160" t="s">
        <v>92</v>
      </c>
      <c r="AC27" s="160" t="s">
        <v>92</v>
      </c>
      <c r="AD27" s="160" t="s">
        <v>92</v>
      </c>
      <c r="AE27" s="160" t="s">
        <v>92</v>
      </c>
      <c r="AF27" s="160" t="s">
        <v>92</v>
      </c>
      <c r="AG27" s="160" t="s">
        <v>92</v>
      </c>
      <c r="AH27" s="160" t="s">
        <v>92</v>
      </c>
      <c r="AI27" s="160" t="s">
        <v>92</v>
      </c>
      <c r="AJ27" s="160" t="s">
        <v>92</v>
      </c>
      <c r="AK27" s="160" t="s">
        <v>92</v>
      </c>
      <c r="AL27" s="160" t="s">
        <v>92</v>
      </c>
      <c r="AM27" s="160" t="s">
        <v>92</v>
      </c>
      <c r="AN27" s="160" t="s">
        <v>92</v>
      </c>
      <c r="AO27" s="160" t="s">
        <v>92</v>
      </c>
    </row>
    <row r="28" spans="1:41" ht="16.5" x14ac:dyDescent="0.25">
      <c r="K28" s="159">
        <f>SUBTOTAL(109,Tabela16[1-mai])</f>
        <v>0</v>
      </c>
      <c r="L28" s="159">
        <f>SUBTOTAL(109,Tabela16[2-mai])</f>
        <v>0</v>
      </c>
      <c r="M28" s="159">
        <f>SUBTOTAL(109,Tabela16[3-mai])</f>
        <v>0</v>
      </c>
      <c r="N28" s="159">
        <f>SUBTOTAL(109,Tabela16[4-mai])</f>
        <v>0</v>
      </c>
      <c r="O28" s="159">
        <f>SUBTOTAL(109,Tabela16[5-mai])</f>
        <v>0</v>
      </c>
      <c r="P28" s="159">
        <f>SUBTOTAL(109,Tabela16[6-mai])</f>
        <v>0</v>
      </c>
      <c r="Q28" s="159">
        <f>SUBTOTAL(109,Tabela16[7-mai])</f>
        <v>0</v>
      </c>
      <c r="R28" s="159">
        <f>SUBTOTAL(109,Tabela16[8-mai])</f>
        <v>0</v>
      </c>
      <c r="S28" s="159">
        <f>SUBTOTAL(109,Tabela16[9-mai])</f>
        <v>0</v>
      </c>
      <c r="T28" s="159">
        <f>SUBTOTAL(109,Tabela16[10-mai])</f>
        <v>0</v>
      </c>
      <c r="U28" s="159">
        <f>SUBTOTAL(109,Tabela16[11-mai])</f>
        <v>0</v>
      </c>
      <c r="V28" s="159">
        <f>SUBTOTAL(109,Tabela16[12-mai])</f>
        <v>0</v>
      </c>
      <c r="W28" s="159">
        <f>SUBTOTAL(109,Tabela16[13-mai])</f>
        <v>0</v>
      </c>
      <c r="X28" s="159">
        <f>SUBTOTAL(109,Tabela16[14-mai])</f>
        <v>0</v>
      </c>
      <c r="Y28" s="159">
        <f>SUBTOTAL(109,Tabela16[15-mai])</f>
        <v>0</v>
      </c>
      <c r="Z28" s="159">
        <f>SUBTOTAL(109,Tabela16[16-mai])</f>
        <v>0</v>
      </c>
      <c r="AA28" s="159">
        <f>SUBTOTAL(109,Tabela16[17-mai])</f>
        <v>0</v>
      </c>
      <c r="AB28" s="159">
        <f>SUBTOTAL(109,Tabela16[18-mai])</f>
        <v>0</v>
      </c>
      <c r="AC28" s="159">
        <f>SUBTOTAL(109,Tabela16[19-mai])</f>
        <v>0</v>
      </c>
      <c r="AD28" s="159">
        <f>SUBTOTAL(109,Tabela16[20-mai])</f>
        <v>0</v>
      </c>
      <c r="AE28" s="159">
        <f>SUBTOTAL(109,Tabela16[21-mai])</f>
        <v>0</v>
      </c>
      <c r="AF28" s="159">
        <f>SUBTOTAL(109,Tabela16[22-mai])</f>
        <v>0</v>
      </c>
      <c r="AG28" s="159">
        <f>SUBTOTAL(109,Tabela16[23-mai])</f>
        <v>0</v>
      </c>
      <c r="AH28" s="159">
        <f>SUBTOTAL(109,Tabela16[24-mai])</f>
        <v>0</v>
      </c>
      <c r="AI28" s="159">
        <f>SUBTOTAL(109,Tabela16[25-mai])</f>
        <v>0</v>
      </c>
      <c r="AJ28" s="159">
        <f>SUBTOTAL(109,Tabela16[26-mai])</f>
        <v>0</v>
      </c>
      <c r="AK28" s="159">
        <f>SUBTOTAL(109,Tabela16[27-mai])</f>
        <v>0</v>
      </c>
      <c r="AL28" s="159">
        <f>SUBTOTAL(109,Tabela16[28-mai])</f>
        <v>0</v>
      </c>
      <c r="AM28" s="159">
        <f>SUBTOTAL(109,Tabela16[29-mai])</f>
        <v>0</v>
      </c>
      <c r="AN28" s="159">
        <f>SUBTOTAL(109,Tabela16[30-mai])</f>
        <v>0</v>
      </c>
      <c r="AO28" s="159">
        <f>SUBTOTAL(109,Tabela16[31-mai])</f>
        <v>0</v>
      </c>
    </row>
    <row r="30" spans="1:41" x14ac:dyDescent="0.25">
      <c r="B30" s="188"/>
      <c r="C30" s="188"/>
    </row>
    <row r="31" spans="1:41" x14ac:dyDescent="0.25">
      <c r="B31" s="188"/>
      <c r="C31" s="188"/>
    </row>
  </sheetData>
  <sheetProtection algorithmName="SHA-512" hashValue="AIsVq7eqAbtZW09o3CVP6B7QuyBllG4RSGmezrbMExaVv0S/fNh3UAR9LFtCfhiRqZHbbqzTarW5McLF9tMBwA==" saltValue="pn9PMa9MuWnWde30EdnThg==" spinCount="100000" sheet="1" objects="1" scenarios="1"/>
  <mergeCells count="49">
    <mergeCell ref="C15:F15"/>
    <mergeCell ref="K8:K9"/>
    <mergeCell ref="C25:F25"/>
    <mergeCell ref="G25:J25"/>
    <mergeCell ref="C16:F16"/>
    <mergeCell ref="G16:J16"/>
    <mergeCell ref="C17:F17"/>
    <mergeCell ref="G17:J17"/>
    <mergeCell ref="G8:G9"/>
    <mergeCell ref="H8:H9"/>
    <mergeCell ref="J8:J9"/>
    <mergeCell ref="G18:J18"/>
    <mergeCell ref="C13:F13"/>
    <mergeCell ref="G13:J13"/>
    <mergeCell ref="C14:F14"/>
    <mergeCell ref="G19:J19"/>
    <mergeCell ref="C20:F20"/>
    <mergeCell ref="G20:J20"/>
    <mergeCell ref="C21:F21"/>
    <mergeCell ref="G21:J21"/>
    <mergeCell ref="O7:Q7"/>
    <mergeCell ref="O8:Q9"/>
    <mergeCell ref="B11:F11"/>
    <mergeCell ref="G11:J11"/>
    <mergeCell ref="C12:F12"/>
    <mergeCell ref="G12:J12"/>
    <mergeCell ref="B8:B9"/>
    <mergeCell ref="C8:C9"/>
    <mergeCell ref="D8:D9"/>
    <mergeCell ref="E8:E9"/>
    <mergeCell ref="L8:L9"/>
    <mergeCell ref="M8:M9"/>
    <mergeCell ref="I8:I9"/>
    <mergeCell ref="F8:F9"/>
    <mergeCell ref="G14:J14"/>
    <mergeCell ref="C18:F18"/>
    <mergeCell ref="G15:J15"/>
    <mergeCell ref="B30:C31"/>
    <mergeCell ref="C27:F27"/>
    <mergeCell ref="G27:J27"/>
    <mergeCell ref="C22:F22"/>
    <mergeCell ref="G22:J22"/>
    <mergeCell ref="C23:F23"/>
    <mergeCell ref="G23:J23"/>
    <mergeCell ref="C24:F24"/>
    <mergeCell ref="G24:J24"/>
    <mergeCell ref="C26:F26"/>
    <mergeCell ref="G26:J26"/>
    <mergeCell ref="C19:F19"/>
  </mergeCells>
  <conditionalFormatting sqref="K12:AO27">
    <cfRule type="containsText" dxfId="77" priority="3" operator="containsText" text="não">
      <formula>NOT(ISERROR(SEARCH("não",K12)))</formula>
    </cfRule>
    <cfRule type="containsText" dxfId="76" priority="4" operator="containsText" text="sim">
      <formula>NOT(ISERROR(SEARCH("sim",K12)))</formula>
    </cfRule>
  </conditionalFormatting>
  <conditionalFormatting sqref="G12:J2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{FD06947B-5152-4DE2-86E8-1C74B521EE6F}</x14:id>
        </ext>
      </extLst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{EDA9676E-DF3F-463E-890B-CA1CE376E877}</x14:id>
        </ext>
      </extLst>
    </cfRule>
  </conditionalFormatting>
  <dataValidations count="1">
    <dataValidation type="list" allowBlank="1" showInputMessage="1" showErrorMessage="1" sqref="K12:AO27" xr:uid="{00000000-0002-0000-1800-000000000000}">
      <formula1>"Sim,Não,00:30,01:00,01:30,02:00,02:30,03:00,03:30,04:00"</formula1>
    </dataValidation>
  </dataValidations>
  <hyperlinks>
    <hyperlink ref="B8" location="Desempenho!A1" display="janeiro" xr:uid="{00000000-0004-0000-1800-000000000000}"/>
    <hyperlink ref="C8" location="fev!A1" display="Fevereiro" xr:uid="{00000000-0004-0000-1800-000001000000}"/>
    <hyperlink ref="D8" location="mar!A1" display="Março" xr:uid="{00000000-0004-0000-1800-000002000000}"/>
    <hyperlink ref="E8" location="abr!A1" display="Abril" xr:uid="{00000000-0004-0000-1800-000003000000}"/>
    <hyperlink ref="F8" location="maio!A1" display="Maio" xr:uid="{00000000-0004-0000-1800-000004000000}"/>
    <hyperlink ref="G8" location="jun!A1" display="Junho" xr:uid="{00000000-0004-0000-1800-000005000000}"/>
    <hyperlink ref="H8" location="jul!A1" display="Julho" xr:uid="{00000000-0004-0000-1800-000006000000}"/>
    <hyperlink ref="I8" location="ago!A1" display="Agosto" xr:uid="{00000000-0004-0000-1800-000007000000}"/>
    <hyperlink ref="J8" location="set!A1" display="Setembro" xr:uid="{00000000-0004-0000-1800-000008000000}"/>
    <hyperlink ref="K8" location="out!A1" display="Outubro" xr:uid="{00000000-0004-0000-1800-000009000000}"/>
    <hyperlink ref="L8" location="nov!A1" display="Novembro" xr:uid="{00000000-0004-0000-1800-00000A000000}"/>
    <hyperlink ref="M8" location="dez!A1" display="Dezembro" xr:uid="{00000000-0004-0000-1800-00000B000000}"/>
  </hyperlinks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D06947B-5152-4DE2-86E8-1C74B521EE6F}">
            <x14:dataBar minLength="0" maxLength="100" gradient="0">
              <x14:cfvo type="autoMin"/>
              <x14:cfvo type="autoMax"/>
              <x14:negativeFillColor rgb="FFFF0000"/>
              <x14:axisColor theme="0"/>
            </x14:dataBar>
          </x14:cfRule>
          <x14:cfRule type="dataBar" id="{EDA9676E-DF3F-463E-890B-CA1CE376E8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G12:J27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26"/>
  <dimension ref="A1:AN31"/>
  <sheetViews>
    <sheetView showGridLines="0" workbookViewId="0">
      <pane ySplit="4" topLeftCell="A5" activePane="bottomLeft" state="frozen"/>
      <selection activeCell="A5" sqref="A5"/>
      <selection pane="bottomLeft" activeCell="H8" sqref="H8:H9"/>
    </sheetView>
  </sheetViews>
  <sheetFormatPr defaultRowHeight="15" x14ac:dyDescent="0.25"/>
  <cols>
    <col min="1" max="1" width="3.85546875" style="27" customWidth="1"/>
    <col min="2" max="2" width="8.140625" style="27" bestFit="1" customWidth="1"/>
    <col min="3" max="3" width="10.5703125" style="27" bestFit="1" customWidth="1"/>
    <col min="4" max="4" width="7.5703125" style="27" bestFit="1" customWidth="1"/>
    <col min="5" max="5" width="6.140625" style="27" bestFit="1" customWidth="1"/>
    <col min="6" max="6" width="6.28515625" style="27" bestFit="1" customWidth="1"/>
    <col min="7" max="7" width="7.42578125" style="27" bestFit="1" customWidth="1"/>
    <col min="8" max="8" width="6.7109375" style="27" bestFit="1" customWidth="1"/>
    <col min="9" max="9" width="8.5703125" style="27" bestFit="1" customWidth="1"/>
    <col min="10" max="10" width="11" style="27" bestFit="1" customWidth="1"/>
    <col min="11" max="11" width="9.7109375" style="27" bestFit="1" customWidth="1"/>
    <col min="12" max="12" width="12" style="27" bestFit="1" customWidth="1"/>
    <col min="13" max="13" width="11.5703125" style="27" bestFit="1" customWidth="1"/>
    <col min="14" max="16384" width="9.140625" style="27"/>
  </cols>
  <sheetData>
    <row r="1" spans="1:40" s="38" customFormat="1" x14ac:dyDescent="0.25"/>
    <row r="2" spans="1:40" s="38" customFormat="1" x14ac:dyDescent="0.25"/>
    <row r="3" spans="1:40" s="38" customFormat="1" x14ac:dyDescent="0.25"/>
    <row r="4" spans="1:40" s="38" customFormat="1" x14ac:dyDescent="0.25"/>
    <row r="5" spans="1:40" s="63" customFormat="1" ht="3.95" customHeight="1" x14ac:dyDescent="0.25"/>
    <row r="6" spans="1:40" ht="15" customHeight="1" x14ac:dyDescent="0.25"/>
    <row r="7" spans="1:40" ht="15" customHeight="1" thickBot="1" x14ac:dyDescent="0.3">
      <c r="O7" s="246" t="s">
        <v>36</v>
      </c>
      <c r="P7" s="246"/>
      <c r="Q7" s="246"/>
    </row>
    <row r="8" spans="1:40" ht="15" customHeight="1" x14ac:dyDescent="0.25">
      <c r="A8" s="31"/>
      <c r="B8" s="250" t="s">
        <v>133</v>
      </c>
      <c r="C8" s="248" t="s">
        <v>25</v>
      </c>
      <c r="D8" s="248" t="s">
        <v>26</v>
      </c>
      <c r="E8" s="248" t="s">
        <v>27</v>
      </c>
      <c r="F8" s="248" t="s">
        <v>28</v>
      </c>
      <c r="G8" s="248" t="s">
        <v>29</v>
      </c>
      <c r="H8" s="248" t="s">
        <v>30</v>
      </c>
      <c r="I8" s="248" t="s">
        <v>31</v>
      </c>
      <c r="J8" s="248" t="s">
        <v>32</v>
      </c>
      <c r="K8" s="248" t="s">
        <v>33</v>
      </c>
      <c r="L8" s="248" t="s">
        <v>34</v>
      </c>
      <c r="M8" s="248" t="s">
        <v>35</v>
      </c>
      <c r="N8" s="49"/>
      <c r="O8" s="196">
        <f>SUM(G12:J27)</f>
        <v>0</v>
      </c>
      <c r="P8" s="196"/>
      <c r="Q8" s="196"/>
    </row>
    <row r="9" spans="1:40" ht="15" customHeight="1" x14ac:dyDescent="0.25">
      <c r="A9" s="31"/>
      <c r="B9" s="249"/>
      <c r="C9" s="249"/>
      <c r="D9" s="249"/>
      <c r="E9" s="249"/>
      <c r="F9" s="249"/>
      <c r="G9" s="249"/>
      <c r="H9" s="249"/>
      <c r="I9" s="249"/>
      <c r="J9" s="249"/>
      <c r="K9" s="249"/>
      <c r="L9" s="249"/>
      <c r="M9" s="249"/>
      <c r="N9" s="50"/>
      <c r="O9" s="196"/>
      <c r="P9" s="196"/>
      <c r="Q9" s="196"/>
    </row>
    <row r="10" spans="1:40" ht="15" customHeight="1" x14ac:dyDescent="0.25">
      <c r="A10" s="18"/>
      <c r="B10" s="18"/>
      <c r="C10" s="18"/>
      <c r="D10" s="18"/>
      <c r="E10" s="18"/>
      <c r="F10" s="18"/>
      <c r="G10" s="18"/>
      <c r="H10" s="18"/>
      <c r="I10" s="18"/>
      <c r="J10" s="18"/>
      <c r="O10" s="32"/>
      <c r="P10" s="32"/>
      <c r="Q10" s="32"/>
    </row>
    <row r="11" spans="1:40" ht="20.25" x14ac:dyDescent="0.25">
      <c r="A11" s="19"/>
      <c r="B11" s="198" t="s">
        <v>134</v>
      </c>
      <c r="C11" s="198"/>
      <c r="D11" s="198"/>
      <c r="E11" s="198"/>
      <c r="F11" s="198"/>
      <c r="G11" s="195" t="s">
        <v>37</v>
      </c>
      <c r="H11" s="195"/>
      <c r="I11" s="195"/>
      <c r="J11" s="195"/>
      <c r="K11" s="21" t="s">
        <v>263</v>
      </c>
      <c r="L11" s="21" t="s">
        <v>264</v>
      </c>
      <c r="M11" s="21" t="s">
        <v>265</v>
      </c>
      <c r="N11" s="21" t="s">
        <v>266</v>
      </c>
      <c r="O11" s="21" t="s">
        <v>267</v>
      </c>
      <c r="P11" s="21" t="s">
        <v>268</v>
      </c>
      <c r="Q11" s="21" t="s">
        <v>269</v>
      </c>
      <c r="R11" s="21" t="s">
        <v>270</v>
      </c>
      <c r="S11" s="21" t="s">
        <v>271</v>
      </c>
      <c r="T11" s="21" t="s">
        <v>272</v>
      </c>
      <c r="U11" s="21" t="s">
        <v>273</v>
      </c>
      <c r="V11" s="21" t="s">
        <v>274</v>
      </c>
      <c r="W11" s="21" t="s">
        <v>275</v>
      </c>
      <c r="X11" s="21" t="s">
        <v>276</v>
      </c>
      <c r="Y11" s="21" t="s">
        <v>277</v>
      </c>
      <c r="Z11" s="21" t="s">
        <v>278</v>
      </c>
      <c r="AA11" s="21" t="s">
        <v>279</v>
      </c>
      <c r="AB11" s="21" t="s">
        <v>280</v>
      </c>
      <c r="AC11" s="21" t="s">
        <v>281</v>
      </c>
      <c r="AD11" s="21" t="s">
        <v>282</v>
      </c>
      <c r="AE11" s="21" t="s">
        <v>283</v>
      </c>
      <c r="AF11" s="21" t="s">
        <v>284</v>
      </c>
      <c r="AG11" s="21" t="s">
        <v>285</v>
      </c>
      <c r="AH11" s="21" t="s">
        <v>286</v>
      </c>
      <c r="AI11" s="21" t="s">
        <v>287</v>
      </c>
      <c r="AJ11" s="21" t="s">
        <v>288</v>
      </c>
      <c r="AK11" s="21" t="s">
        <v>289</v>
      </c>
      <c r="AL11" s="21" t="s">
        <v>290</v>
      </c>
      <c r="AM11" s="21" t="s">
        <v>291</v>
      </c>
      <c r="AN11" s="21" t="s">
        <v>292</v>
      </c>
    </row>
    <row r="12" spans="1:40" ht="26.1" customHeight="1" thickBot="1" x14ac:dyDescent="0.3">
      <c r="A12" s="1" t="s">
        <v>89</v>
      </c>
      <c r="B12" s="16">
        <v>1</v>
      </c>
      <c r="C12" s="199" t="str">
        <f>VLOOKUP(B12,Começo!A:D,3,0)</f>
        <v>Português</v>
      </c>
      <c r="D12" s="199"/>
      <c r="E12" s="199"/>
      <c r="F12" s="199"/>
      <c r="G12" s="194">
        <f>IFERROR(COUNTIF(Tabela17[#This Row],"sim"),"")*Começo!D14+SUM(Tabela17[#This Row])</f>
        <v>0</v>
      </c>
      <c r="H12" s="194"/>
      <c r="I12" s="194"/>
      <c r="J12" s="194"/>
      <c r="K12" s="158" t="s">
        <v>92</v>
      </c>
      <c r="L12" s="158" t="s">
        <v>92</v>
      </c>
      <c r="M12" s="158" t="s">
        <v>92</v>
      </c>
      <c r="N12" s="158" t="s">
        <v>92</v>
      </c>
      <c r="O12" s="158" t="s">
        <v>92</v>
      </c>
      <c r="P12" s="158" t="s">
        <v>92</v>
      </c>
      <c r="Q12" s="158" t="s">
        <v>92</v>
      </c>
      <c r="R12" s="158" t="s">
        <v>92</v>
      </c>
      <c r="S12" s="158" t="s">
        <v>92</v>
      </c>
      <c r="T12" s="158" t="s">
        <v>92</v>
      </c>
      <c r="U12" s="158" t="s">
        <v>92</v>
      </c>
      <c r="V12" s="158" t="s">
        <v>92</v>
      </c>
      <c r="W12" s="158" t="s">
        <v>92</v>
      </c>
      <c r="X12" s="158" t="s">
        <v>92</v>
      </c>
      <c r="Y12" s="158" t="s">
        <v>92</v>
      </c>
      <c r="Z12" s="158" t="s">
        <v>92</v>
      </c>
      <c r="AA12" s="158" t="s">
        <v>92</v>
      </c>
      <c r="AB12" s="158" t="s">
        <v>92</v>
      </c>
      <c r="AC12" s="158" t="s">
        <v>92</v>
      </c>
      <c r="AD12" s="158" t="s">
        <v>92</v>
      </c>
      <c r="AE12" s="158" t="s">
        <v>92</v>
      </c>
      <c r="AF12" s="158" t="s">
        <v>92</v>
      </c>
      <c r="AG12" s="158" t="s">
        <v>92</v>
      </c>
      <c r="AH12" s="158" t="s">
        <v>92</v>
      </c>
      <c r="AI12" s="158" t="s">
        <v>92</v>
      </c>
      <c r="AJ12" s="158" t="s">
        <v>92</v>
      </c>
      <c r="AK12" s="158" t="s">
        <v>92</v>
      </c>
      <c r="AL12" s="158" t="s">
        <v>92</v>
      </c>
      <c r="AM12" s="158" t="s">
        <v>92</v>
      </c>
      <c r="AN12" s="158" t="s">
        <v>92</v>
      </c>
    </row>
    <row r="13" spans="1:40" ht="26.1" customHeight="1" thickBot="1" x14ac:dyDescent="0.3">
      <c r="A13" s="1" t="s">
        <v>89</v>
      </c>
      <c r="B13" s="17">
        <v>2</v>
      </c>
      <c r="C13" s="199" t="str">
        <f>VLOOKUP(B13,Começo!A:D,3,0)</f>
        <v>Matemática</v>
      </c>
      <c r="D13" s="199"/>
      <c r="E13" s="199"/>
      <c r="F13" s="199"/>
      <c r="G13" s="194">
        <f>IFERROR(COUNTIF(Tabela17[#This Row],"sim"),"")*Começo!D15+SUM(Tabela17[#This Row])</f>
        <v>0</v>
      </c>
      <c r="H13" s="194"/>
      <c r="I13" s="194"/>
      <c r="J13" s="194"/>
      <c r="K13" s="158" t="s">
        <v>92</v>
      </c>
      <c r="L13" s="158" t="s">
        <v>92</v>
      </c>
      <c r="M13" s="158" t="s">
        <v>92</v>
      </c>
      <c r="N13" s="158" t="s">
        <v>92</v>
      </c>
      <c r="O13" s="158" t="s">
        <v>92</v>
      </c>
      <c r="P13" s="158" t="s">
        <v>92</v>
      </c>
      <c r="Q13" s="158" t="s">
        <v>92</v>
      </c>
      <c r="R13" s="158" t="s">
        <v>92</v>
      </c>
      <c r="S13" s="158" t="s">
        <v>92</v>
      </c>
      <c r="T13" s="158" t="s">
        <v>92</v>
      </c>
      <c r="U13" s="158" t="s">
        <v>92</v>
      </c>
      <c r="V13" s="158" t="s">
        <v>92</v>
      </c>
      <c r="W13" s="158" t="s">
        <v>92</v>
      </c>
      <c r="X13" s="158" t="s">
        <v>92</v>
      </c>
      <c r="Y13" s="158" t="s">
        <v>92</v>
      </c>
      <c r="Z13" s="158" t="s">
        <v>92</v>
      </c>
      <c r="AA13" s="158" t="s">
        <v>92</v>
      </c>
      <c r="AB13" s="158" t="s">
        <v>92</v>
      </c>
      <c r="AC13" s="158" t="s">
        <v>92</v>
      </c>
      <c r="AD13" s="158" t="s">
        <v>92</v>
      </c>
      <c r="AE13" s="158" t="s">
        <v>92</v>
      </c>
      <c r="AF13" s="158" t="s">
        <v>92</v>
      </c>
      <c r="AG13" s="158" t="s">
        <v>92</v>
      </c>
      <c r="AH13" s="158" t="s">
        <v>92</v>
      </c>
      <c r="AI13" s="158" t="s">
        <v>92</v>
      </c>
      <c r="AJ13" s="158" t="s">
        <v>92</v>
      </c>
      <c r="AK13" s="158" t="s">
        <v>92</v>
      </c>
      <c r="AL13" s="158" t="s">
        <v>92</v>
      </c>
      <c r="AM13" s="158" t="s">
        <v>92</v>
      </c>
      <c r="AN13" s="158" t="s">
        <v>92</v>
      </c>
    </row>
    <row r="14" spans="1:40" ht="26.1" customHeight="1" thickBot="1" x14ac:dyDescent="0.3">
      <c r="A14" s="1" t="s">
        <v>89</v>
      </c>
      <c r="B14" s="17">
        <v>3</v>
      </c>
      <c r="C14" s="199" t="str">
        <f>VLOOKUP(B14,Começo!A:D,3,0)</f>
        <v>História</v>
      </c>
      <c r="D14" s="199"/>
      <c r="E14" s="199"/>
      <c r="F14" s="199"/>
      <c r="G14" s="194">
        <f>IFERROR(COUNTIF(Tabela17[#This Row],"sim"),"")*Começo!D16+SUM(Tabela17[#This Row])</f>
        <v>0</v>
      </c>
      <c r="H14" s="194"/>
      <c r="I14" s="194"/>
      <c r="J14" s="194"/>
      <c r="K14" s="158" t="s">
        <v>92</v>
      </c>
      <c r="L14" s="158" t="s">
        <v>92</v>
      </c>
      <c r="M14" s="158" t="s">
        <v>92</v>
      </c>
      <c r="N14" s="158" t="s">
        <v>92</v>
      </c>
      <c r="O14" s="158" t="s">
        <v>92</v>
      </c>
      <c r="P14" s="158" t="s">
        <v>92</v>
      </c>
      <c r="Q14" s="158" t="s">
        <v>92</v>
      </c>
      <c r="R14" s="158" t="s">
        <v>92</v>
      </c>
      <c r="S14" s="158" t="s">
        <v>92</v>
      </c>
      <c r="T14" s="158" t="s">
        <v>92</v>
      </c>
      <c r="U14" s="158" t="s">
        <v>92</v>
      </c>
      <c r="V14" s="158" t="s">
        <v>92</v>
      </c>
      <c r="W14" s="158" t="s">
        <v>92</v>
      </c>
      <c r="X14" s="158" t="s">
        <v>92</v>
      </c>
      <c r="Y14" s="158" t="s">
        <v>92</v>
      </c>
      <c r="Z14" s="158" t="s">
        <v>92</v>
      </c>
      <c r="AA14" s="158" t="s">
        <v>92</v>
      </c>
      <c r="AB14" s="158" t="s">
        <v>92</v>
      </c>
      <c r="AC14" s="158" t="s">
        <v>92</v>
      </c>
      <c r="AD14" s="158" t="s">
        <v>92</v>
      </c>
      <c r="AE14" s="158" t="s">
        <v>92</v>
      </c>
      <c r="AF14" s="158" t="s">
        <v>92</v>
      </c>
      <c r="AG14" s="158" t="s">
        <v>92</v>
      </c>
      <c r="AH14" s="158" t="s">
        <v>92</v>
      </c>
      <c r="AI14" s="158" t="s">
        <v>92</v>
      </c>
      <c r="AJ14" s="158" t="s">
        <v>92</v>
      </c>
      <c r="AK14" s="158" t="s">
        <v>92</v>
      </c>
      <c r="AL14" s="158" t="s">
        <v>92</v>
      </c>
      <c r="AM14" s="158" t="s">
        <v>92</v>
      </c>
      <c r="AN14" s="158" t="s">
        <v>92</v>
      </c>
    </row>
    <row r="15" spans="1:40" ht="26.1" customHeight="1" thickBot="1" x14ac:dyDescent="0.3">
      <c r="A15" s="1" t="s">
        <v>89</v>
      </c>
      <c r="B15" s="17">
        <v>4</v>
      </c>
      <c r="C15" s="199" t="str">
        <f>VLOOKUP(B15,Começo!A:D,3,0)</f>
        <v>Física</v>
      </c>
      <c r="D15" s="199"/>
      <c r="E15" s="199"/>
      <c r="F15" s="199"/>
      <c r="G15" s="194">
        <f>IFERROR(COUNTIF(Tabela17[#This Row],"sim"),"")*Começo!D17+SUM(Tabela17[#This Row])</f>
        <v>0</v>
      </c>
      <c r="H15" s="194"/>
      <c r="I15" s="194"/>
      <c r="J15" s="194"/>
      <c r="K15" s="158" t="s">
        <v>92</v>
      </c>
      <c r="L15" s="158" t="s">
        <v>92</v>
      </c>
      <c r="M15" s="158" t="s">
        <v>92</v>
      </c>
      <c r="N15" s="158" t="s">
        <v>92</v>
      </c>
      <c r="O15" s="158" t="s">
        <v>92</v>
      </c>
      <c r="P15" s="158" t="s">
        <v>92</v>
      </c>
      <c r="Q15" s="158" t="s">
        <v>92</v>
      </c>
      <c r="R15" s="158" t="s">
        <v>92</v>
      </c>
      <c r="S15" s="158" t="s">
        <v>92</v>
      </c>
      <c r="T15" s="158" t="s">
        <v>92</v>
      </c>
      <c r="U15" s="158" t="s">
        <v>92</v>
      </c>
      <c r="V15" s="158" t="s">
        <v>92</v>
      </c>
      <c r="W15" s="158" t="s">
        <v>92</v>
      </c>
      <c r="X15" s="158" t="s">
        <v>92</v>
      </c>
      <c r="Y15" s="158" t="s">
        <v>92</v>
      </c>
      <c r="Z15" s="158" t="s">
        <v>92</v>
      </c>
      <c r="AA15" s="158" t="s">
        <v>92</v>
      </c>
      <c r="AB15" s="158" t="s">
        <v>92</v>
      </c>
      <c r="AC15" s="158" t="s">
        <v>92</v>
      </c>
      <c r="AD15" s="158" t="s">
        <v>92</v>
      </c>
      <c r="AE15" s="158" t="s">
        <v>92</v>
      </c>
      <c r="AF15" s="158" t="s">
        <v>92</v>
      </c>
      <c r="AG15" s="158" t="s">
        <v>92</v>
      </c>
      <c r="AH15" s="158" t="s">
        <v>92</v>
      </c>
      <c r="AI15" s="158" t="s">
        <v>92</v>
      </c>
      <c r="AJ15" s="158" t="s">
        <v>92</v>
      </c>
      <c r="AK15" s="158" t="s">
        <v>92</v>
      </c>
      <c r="AL15" s="158" t="s">
        <v>92</v>
      </c>
      <c r="AM15" s="158" t="s">
        <v>92</v>
      </c>
      <c r="AN15" s="158" t="s">
        <v>92</v>
      </c>
    </row>
    <row r="16" spans="1:40" ht="26.1" customHeight="1" thickBot="1" x14ac:dyDescent="0.3">
      <c r="A16" s="1" t="s">
        <v>89</v>
      </c>
      <c r="B16" s="17">
        <v>5</v>
      </c>
      <c r="C16" s="199" t="str">
        <f>VLOOKUP(B16,Começo!A:D,3,0)</f>
        <v>Quimíca</v>
      </c>
      <c r="D16" s="199"/>
      <c r="E16" s="199"/>
      <c r="F16" s="199"/>
      <c r="G16" s="194">
        <f>IFERROR(COUNTIF(Tabela17[#This Row],"sim"),"")*Começo!D18+SUM(Tabela17[#This Row])</f>
        <v>0</v>
      </c>
      <c r="H16" s="194"/>
      <c r="I16" s="194"/>
      <c r="J16" s="194"/>
      <c r="K16" s="158" t="s">
        <v>92</v>
      </c>
      <c r="L16" s="158" t="s">
        <v>92</v>
      </c>
      <c r="M16" s="158" t="s">
        <v>92</v>
      </c>
      <c r="N16" s="158" t="s">
        <v>92</v>
      </c>
      <c r="O16" s="158" t="s">
        <v>92</v>
      </c>
      <c r="P16" s="158" t="s">
        <v>92</v>
      </c>
      <c r="Q16" s="158" t="s">
        <v>92</v>
      </c>
      <c r="R16" s="158" t="s">
        <v>92</v>
      </c>
      <c r="S16" s="158" t="s">
        <v>92</v>
      </c>
      <c r="T16" s="158" t="s">
        <v>92</v>
      </c>
      <c r="U16" s="158" t="s">
        <v>92</v>
      </c>
      <c r="V16" s="158" t="s">
        <v>92</v>
      </c>
      <c r="W16" s="158" t="s">
        <v>92</v>
      </c>
      <c r="X16" s="158" t="s">
        <v>92</v>
      </c>
      <c r="Y16" s="158" t="s">
        <v>92</v>
      </c>
      <c r="Z16" s="158" t="s">
        <v>92</v>
      </c>
      <c r="AA16" s="158" t="s">
        <v>92</v>
      </c>
      <c r="AB16" s="158" t="s">
        <v>92</v>
      </c>
      <c r="AC16" s="158" t="s">
        <v>92</v>
      </c>
      <c r="AD16" s="158" t="s">
        <v>92</v>
      </c>
      <c r="AE16" s="158" t="s">
        <v>92</v>
      </c>
      <c r="AF16" s="158" t="s">
        <v>92</v>
      </c>
      <c r="AG16" s="158" t="s">
        <v>92</v>
      </c>
      <c r="AH16" s="158" t="s">
        <v>92</v>
      </c>
      <c r="AI16" s="158" t="s">
        <v>92</v>
      </c>
      <c r="AJ16" s="158" t="s">
        <v>92</v>
      </c>
      <c r="AK16" s="158" t="s">
        <v>92</v>
      </c>
      <c r="AL16" s="158" t="s">
        <v>92</v>
      </c>
      <c r="AM16" s="158" t="s">
        <v>92</v>
      </c>
      <c r="AN16" s="158" t="s">
        <v>92</v>
      </c>
    </row>
    <row r="17" spans="1:40" ht="26.1" customHeight="1" thickBot="1" x14ac:dyDescent="0.3">
      <c r="A17" s="1" t="s">
        <v>89</v>
      </c>
      <c r="B17" s="17">
        <v>6</v>
      </c>
      <c r="C17" s="199" t="str">
        <f>VLOOKUP(B17,Começo!A:D,3,0)</f>
        <v>Legislação</v>
      </c>
      <c r="D17" s="199"/>
      <c r="E17" s="199"/>
      <c r="F17" s="199"/>
      <c r="G17" s="194">
        <f>IFERROR(COUNTIF(Tabela17[#This Row],"sim"),"")*Começo!D19+SUM(Tabela17[#This Row])</f>
        <v>0</v>
      </c>
      <c r="H17" s="194"/>
      <c r="I17" s="194"/>
      <c r="J17" s="194"/>
      <c r="K17" s="158" t="s">
        <v>92</v>
      </c>
      <c r="L17" s="158" t="s">
        <v>92</v>
      </c>
      <c r="M17" s="158" t="s">
        <v>92</v>
      </c>
      <c r="N17" s="158" t="s">
        <v>92</v>
      </c>
      <c r="O17" s="158" t="s">
        <v>92</v>
      </c>
      <c r="P17" s="158" t="s">
        <v>92</v>
      </c>
      <c r="Q17" s="158" t="s">
        <v>92</v>
      </c>
      <c r="R17" s="158" t="s">
        <v>92</v>
      </c>
      <c r="S17" s="158" t="s">
        <v>92</v>
      </c>
      <c r="T17" s="158" t="s">
        <v>92</v>
      </c>
      <c r="U17" s="158" t="s">
        <v>92</v>
      </c>
      <c r="V17" s="158" t="s">
        <v>92</v>
      </c>
      <c r="W17" s="158" t="s">
        <v>92</v>
      </c>
      <c r="X17" s="158" t="s">
        <v>92</v>
      </c>
      <c r="Y17" s="158" t="s">
        <v>92</v>
      </c>
      <c r="Z17" s="158" t="s">
        <v>92</v>
      </c>
      <c r="AA17" s="158" t="s">
        <v>92</v>
      </c>
      <c r="AB17" s="158" t="s">
        <v>92</v>
      </c>
      <c r="AC17" s="158" t="s">
        <v>92</v>
      </c>
      <c r="AD17" s="158" t="s">
        <v>92</v>
      </c>
      <c r="AE17" s="158" t="s">
        <v>92</v>
      </c>
      <c r="AF17" s="158" t="s">
        <v>92</v>
      </c>
      <c r="AG17" s="158" t="s">
        <v>92</v>
      </c>
      <c r="AH17" s="158" t="s">
        <v>92</v>
      </c>
      <c r="AI17" s="158" t="s">
        <v>92</v>
      </c>
      <c r="AJ17" s="158" t="s">
        <v>92</v>
      </c>
      <c r="AK17" s="158" t="s">
        <v>92</v>
      </c>
      <c r="AL17" s="158" t="s">
        <v>92</v>
      </c>
      <c r="AM17" s="158" t="s">
        <v>92</v>
      </c>
      <c r="AN17" s="158" t="s">
        <v>92</v>
      </c>
    </row>
    <row r="18" spans="1:40" ht="26.1" customHeight="1" thickBot="1" x14ac:dyDescent="0.3">
      <c r="A18" s="1" t="s">
        <v>89</v>
      </c>
      <c r="B18" s="17">
        <v>7</v>
      </c>
      <c r="C18" s="199" t="str">
        <f>VLOOKUP(B18,Começo!A:D,3,0)</f>
        <v>Processo Penal</v>
      </c>
      <c r="D18" s="199"/>
      <c r="E18" s="199"/>
      <c r="F18" s="199"/>
      <c r="G18" s="194">
        <f>IFERROR(COUNTIF(Tabela17[#This Row],"sim"),"")*Começo!D20+SUM(Tabela17[#This Row])</f>
        <v>0</v>
      </c>
      <c r="H18" s="194"/>
      <c r="I18" s="194"/>
      <c r="J18" s="194"/>
      <c r="K18" s="158" t="s">
        <v>92</v>
      </c>
      <c r="L18" s="158" t="s">
        <v>92</v>
      </c>
      <c r="M18" s="158" t="s">
        <v>92</v>
      </c>
      <c r="N18" s="158" t="s">
        <v>92</v>
      </c>
      <c r="O18" s="158" t="s">
        <v>92</v>
      </c>
      <c r="P18" s="158" t="s">
        <v>92</v>
      </c>
      <c r="Q18" s="158" t="s">
        <v>92</v>
      </c>
      <c r="R18" s="158" t="s">
        <v>92</v>
      </c>
      <c r="S18" s="158" t="s">
        <v>92</v>
      </c>
      <c r="T18" s="158" t="s">
        <v>92</v>
      </c>
      <c r="U18" s="158" t="s">
        <v>92</v>
      </c>
      <c r="V18" s="158" t="s">
        <v>92</v>
      </c>
      <c r="W18" s="158" t="s">
        <v>92</v>
      </c>
      <c r="X18" s="158" t="s">
        <v>92</v>
      </c>
      <c r="Y18" s="158" t="s">
        <v>92</v>
      </c>
      <c r="Z18" s="158" t="s">
        <v>92</v>
      </c>
      <c r="AA18" s="158" t="s">
        <v>92</v>
      </c>
      <c r="AB18" s="158" t="s">
        <v>92</v>
      </c>
      <c r="AC18" s="158" t="s">
        <v>92</v>
      </c>
      <c r="AD18" s="158" t="s">
        <v>92</v>
      </c>
      <c r="AE18" s="158" t="s">
        <v>92</v>
      </c>
      <c r="AF18" s="158" t="s">
        <v>92</v>
      </c>
      <c r="AG18" s="158" t="s">
        <v>92</v>
      </c>
      <c r="AH18" s="158" t="s">
        <v>92</v>
      </c>
      <c r="AI18" s="158" t="s">
        <v>92</v>
      </c>
      <c r="AJ18" s="158" t="s">
        <v>92</v>
      </c>
      <c r="AK18" s="158" t="s">
        <v>92</v>
      </c>
      <c r="AL18" s="158" t="s">
        <v>92</v>
      </c>
      <c r="AM18" s="158" t="s">
        <v>92</v>
      </c>
      <c r="AN18" s="158" t="s">
        <v>92</v>
      </c>
    </row>
    <row r="19" spans="1:40" ht="26.1" customHeight="1" thickBot="1" x14ac:dyDescent="0.3">
      <c r="A19" s="1" t="s">
        <v>89</v>
      </c>
      <c r="B19" s="17">
        <v>8</v>
      </c>
      <c r="C19" s="199" t="str">
        <f>VLOOKUP(B19,Começo!A:D,3,0)</f>
        <v>Direito Administrativo</v>
      </c>
      <c r="D19" s="199"/>
      <c r="E19" s="199"/>
      <c r="F19" s="199"/>
      <c r="G19" s="194">
        <f>IFERROR(COUNTIF(Tabela17[#This Row],"sim"),"")*Começo!D21+SUM(Tabela17[#This Row])</f>
        <v>0</v>
      </c>
      <c r="H19" s="194"/>
      <c r="I19" s="194"/>
      <c r="J19" s="194"/>
      <c r="K19" s="158" t="s">
        <v>92</v>
      </c>
      <c r="L19" s="158" t="s">
        <v>92</v>
      </c>
      <c r="M19" s="158" t="s">
        <v>92</v>
      </c>
      <c r="N19" s="158" t="s">
        <v>92</v>
      </c>
      <c r="O19" s="158" t="s">
        <v>92</v>
      </c>
      <c r="P19" s="158" t="s">
        <v>92</v>
      </c>
      <c r="Q19" s="158" t="s">
        <v>92</v>
      </c>
      <c r="R19" s="158" t="s">
        <v>92</v>
      </c>
      <c r="S19" s="158" t="s">
        <v>92</v>
      </c>
      <c r="T19" s="158" t="s">
        <v>92</v>
      </c>
      <c r="U19" s="158" t="s">
        <v>92</v>
      </c>
      <c r="V19" s="158" t="s">
        <v>92</v>
      </c>
      <c r="W19" s="158" t="s">
        <v>92</v>
      </c>
      <c r="X19" s="158" t="s">
        <v>92</v>
      </c>
      <c r="Y19" s="158" t="s">
        <v>92</v>
      </c>
      <c r="Z19" s="158" t="s">
        <v>92</v>
      </c>
      <c r="AA19" s="158" t="s">
        <v>92</v>
      </c>
      <c r="AB19" s="158" t="s">
        <v>92</v>
      </c>
      <c r="AC19" s="158" t="s">
        <v>92</v>
      </c>
      <c r="AD19" s="158" t="s">
        <v>92</v>
      </c>
      <c r="AE19" s="158" t="s">
        <v>92</v>
      </c>
      <c r="AF19" s="158" t="s">
        <v>92</v>
      </c>
      <c r="AG19" s="158" t="s">
        <v>92</v>
      </c>
      <c r="AH19" s="158" t="s">
        <v>92</v>
      </c>
      <c r="AI19" s="158" t="s">
        <v>92</v>
      </c>
      <c r="AJ19" s="158" t="s">
        <v>92</v>
      </c>
      <c r="AK19" s="158" t="s">
        <v>92</v>
      </c>
      <c r="AL19" s="158" t="s">
        <v>92</v>
      </c>
      <c r="AM19" s="158" t="s">
        <v>92</v>
      </c>
      <c r="AN19" s="158" t="s">
        <v>92</v>
      </c>
    </row>
    <row r="20" spans="1:40" ht="26.1" customHeight="1" thickBot="1" x14ac:dyDescent="0.3">
      <c r="A20" s="1" t="s">
        <v>89</v>
      </c>
      <c r="B20" s="17">
        <v>9</v>
      </c>
      <c r="C20" s="199" t="str">
        <f>VLOOKUP(B20,Começo!A:D,3,0)</f>
        <v>Direito Tributário</v>
      </c>
      <c r="D20" s="199"/>
      <c r="E20" s="199"/>
      <c r="F20" s="199"/>
      <c r="G20" s="194">
        <f>IFERROR(COUNTIF(Tabela17[#This Row],"sim"),"")*Começo!D22+SUM(Tabela17[#This Row])</f>
        <v>0</v>
      </c>
      <c r="H20" s="194"/>
      <c r="I20" s="194"/>
      <c r="J20" s="194"/>
      <c r="K20" s="158" t="s">
        <v>92</v>
      </c>
      <c r="L20" s="158" t="s">
        <v>92</v>
      </c>
      <c r="M20" s="158" t="s">
        <v>92</v>
      </c>
      <c r="N20" s="158" t="s">
        <v>92</v>
      </c>
      <c r="O20" s="158" t="s">
        <v>92</v>
      </c>
      <c r="P20" s="158" t="s">
        <v>92</v>
      </c>
      <c r="Q20" s="158" t="s">
        <v>92</v>
      </c>
      <c r="R20" s="158" t="s">
        <v>92</v>
      </c>
      <c r="S20" s="158" t="s">
        <v>92</v>
      </c>
      <c r="T20" s="158" t="s">
        <v>92</v>
      </c>
      <c r="U20" s="158" t="s">
        <v>92</v>
      </c>
      <c r="V20" s="158" t="s">
        <v>92</v>
      </c>
      <c r="W20" s="158" t="s">
        <v>92</v>
      </c>
      <c r="X20" s="158" t="s">
        <v>92</v>
      </c>
      <c r="Y20" s="158" t="s">
        <v>92</v>
      </c>
      <c r="Z20" s="158" t="s">
        <v>92</v>
      </c>
      <c r="AA20" s="158" t="s">
        <v>92</v>
      </c>
      <c r="AB20" s="158" t="s">
        <v>92</v>
      </c>
      <c r="AC20" s="158" t="s">
        <v>92</v>
      </c>
      <c r="AD20" s="158" t="s">
        <v>92</v>
      </c>
      <c r="AE20" s="158" t="s">
        <v>92</v>
      </c>
      <c r="AF20" s="158" t="s">
        <v>92</v>
      </c>
      <c r="AG20" s="158" t="s">
        <v>92</v>
      </c>
      <c r="AH20" s="158" t="s">
        <v>92</v>
      </c>
      <c r="AI20" s="158" t="s">
        <v>92</v>
      </c>
      <c r="AJ20" s="158" t="s">
        <v>92</v>
      </c>
      <c r="AK20" s="158" t="s">
        <v>92</v>
      </c>
      <c r="AL20" s="158" t="s">
        <v>92</v>
      </c>
      <c r="AM20" s="158" t="s">
        <v>92</v>
      </c>
      <c r="AN20" s="158" t="s">
        <v>92</v>
      </c>
    </row>
    <row r="21" spans="1:40" ht="26.1" customHeight="1" thickBot="1" x14ac:dyDescent="0.3">
      <c r="A21" s="1" t="s">
        <v>89</v>
      </c>
      <c r="B21" s="17">
        <v>10</v>
      </c>
      <c r="C21" s="199" t="str">
        <f>VLOOKUP(B21,Começo!A:D,3,0)</f>
        <v>Inglês</v>
      </c>
      <c r="D21" s="199"/>
      <c r="E21" s="199"/>
      <c r="F21" s="199"/>
      <c r="G21" s="194">
        <f>IFERROR(COUNTIF(Tabela17[#This Row],"sim"),"")*Começo!D23+SUM(Tabela17[#This Row])</f>
        <v>0</v>
      </c>
      <c r="H21" s="194"/>
      <c r="I21" s="194"/>
      <c r="J21" s="194"/>
      <c r="K21" s="158" t="s">
        <v>92</v>
      </c>
      <c r="L21" s="158" t="s">
        <v>92</v>
      </c>
      <c r="M21" s="158" t="s">
        <v>92</v>
      </c>
      <c r="N21" s="158" t="s">
        <v>92</v>
      </c>
      <c r="O21" s="158" t="s">
        <v>92</v>
      </c>
      <c r="P21" s="158" t="s">
        <v>92</v>
      </c>
      <c r="Q21" s="158" t="s">
        <v>92</v>
      </c>
      <c r="R21" s="158" t="s">
        <v>92</v>
      </c>
      <c r="S21" s="158" t="s">
        <v>92</v>
      </c>
      <c r="T21" s="158" t="s">
        <v>92</v>
      </c>
      <c r="U21" s="158" t="s">
        <v>92</v>
      </c>
      <c r="V21" s="158" t="s">
        <v>92</v>
      </c>
      <c r="W21" s="158" t="s">
        <v>92</v>
      </c>
      <c r="X21" s="158" t="s">
        <v>92</v>
      </c>
      <c r="Y21" s="158" t="s">
        <v>92</v>
      </c>
      <c r="Z21" s="158" t="s">
        <v>92</v>
      </c>
      <c r="AA21" s="158" t="s">
        <v>92</v>
      </c>
      <c r="AB21" s="158" t="s">
        <v>92</v>
      </c>
      <c r="AC21" s="158" t="s">
        <v>92</v>
      </c>
      <c r="AD21" s="158" t="s">
        <v>92</v>
      </c>
      <c r="AE21" s="158" t="s">
        <v>92</v>
      </c>
      <c r="AF21" s="158" t="s">
        <v>92</v>
      </c>
      <c r="AG21" s="158" t="s">
        <v>92</v>
      </c>
      <c r="AH21" s="158" t="s">
        <v>92</v>
      </c>
      <c r="AI21" s="158" t="s">
        <v>92</v>
      </c>
      <c r="AJ21" s="158" t="s">
        <v>92</v>
      </c>
      <c r="AK21" s="158" t="s">
        <v>92</v>
      </c>
      <c r="AL21" s="158" t="s">
        <v>92</v>
      </c>
      <c r="AM21" s="158" t="s">
        <v>92</v>
      </c>
      <c r="AN21" s="158" t="s">
        <v>92</v>
      </c>
    </row>
    <row r="22" spans="1:40" ht="26.1" customHeight="1" thickBot="1" x14ac:dyDescent="0.3">
      <c r="A22" s="1" t="s">
        <v>89</v>
      </c>
      <c r="B22" s="17">
        <v>11</v>
      </c>
      <c r="C22" s="199" t="str">
        <f>VLOOKUP(B22,Começo!A:D,3,0)</f>
        <v>Análise de Sistemas</v>
      </c>
      <c r="D22" s="199"/>
      <c r="E22" s="199"/>
      <c r="F22" s="199"/>
      <c r="G22" s="194">
        <f>IFERROR(COUNTIF(Tabela17[#This Row],"sim"),"")*Começo!D24+SUM(Tabela17[#This Row])</f>
        <v>0</v>
      </c>
      <c r="H22" s="194"/>
      <c r="I22" s="194"/>
      <c r="J22" s="194"/>
      <c r="K22" s="158" t="s">
        <v>92</v>
      </c>
      <c r="L22" s="158" t="s">
        <v>92</v>
      </c>
      <c r="M22" s="158" t="s">
        <v>92</v>
      </c>
      <c r="N22" s="158" t="s">
        <v>92</v>
      </c>
      <c r="O22" s="158" t="s">
        <v>92</v>
      </c>
      <c r="P22" s="158" t="s">
        <v>92</v>
      </c>
      <c r="Q22" s="158" t="s">
        <v>92</v>
      </c>
      <c r="R22" s="158" t="s">
        <v>92</v>
      </c>
      <c r="S22" s="158" t="s">
        <v>92</v>
      </c>
      <c r="T22" s="158" t="s">
        <v>92</v>
      </c>
      <c r="U22" s="158" t="s">
        <v>92</v>
      </c>
      <c r="V22" s="158" t="s">
        <v>92</v>
      </c>
      <c r="W22" s="158" t="s">
        <v>92</v>
      </c>
      <c r="X22" s="158" t="s">
        <v>92</v>
      </c>
      <c r="Y22" s="158" t="s">
        <v>92</v>
      </c>
      <c r="Z22" s="158" t="s">
        <v>92</v>
      </c>
      <c r="AA22" s="158" t="s">
        <v>92</v>
      </c>
      <c r="AB22" s="158" t="s">
        <v>92</v>
      </c>
      <c r="AC22" s="158" t="s">
        <v>92</v>
      </c>
      <c r="AD22" s="158" t="s">
        <v>92</v>
      </c>
      <c r="AE22" s="158" t="s">
        <v>92</v>
      </c>
      <c r="AF22" s="158" t="s">
        <v>92</v>
      </c>
      <c r="AG22" s="158" t="s">
        <v>92</v>
      </c>
      <c r="AH22" s="158" t="s">
        <v>92</v>
      </c>
      <c r="AI22" s="158" t="s">
        <v>92</v>
      </c>
      <c r="AJ22" s="158" t="s">
        <v>92</v>
      </c>
      <c r="AK22" s="158" t="s">
        <v>92</v>
      </c>
      <c r="AL22" s="158" t="s">
        <v>92</v>
      </c>
      <c r="AM22" s="158" t="s">
        <v>92</v>
      </c>
      <c r="AN22" s="158" t="s">
        <v>92</v>
      </c>
    </row>
    <row r="23" spans="1:40" ht="26.1" customHeight="1" thickBot="1" x14ac:dyDescent="0.3">
      <c r="A23" s="1" t="s">
        <v>89</v>
      </c>
      <c r="B23" s="17">
        <v>12</v>
      </c>
      <c r="C23" s="199" t="str">
        <f>VLOOKUP(B23,Começo!A:D,3,0)</f>
        <v>Direito Legislativo</v>
      </c>
      <c r="D23" s="199"/>
      <c r="E23" s="199"/>
      <c r="F23" s="199"/>
      <c r="G23" s="194">
        <f>IFERROR(COUNTIF(Tabela17[#This Row],"sim"),"")*Começo!D25+SUM(Tabela17[#This Row])</f>
        <v>0</v>
      </c>
      <c r="H23" s="194"/>
      <c r="I23" s="194"/>
      <c r="J23" s="194"/>
      <c r="K23" s="158" t="s">
        <v>92</v>
      </c>
      <c r="L23" s="158" t="s">
        <v>92</v>
      </c>
      <c r="M23" s="158" t="s">
        <v>92</v>
      </c>
      <c r="N23" s="158" t="s">
        <v>92</v>
      </c>
      <c r="O23" s="158" t="s">
        <v>92</v>
      </c>
      <c r="P23" s="158" t="s">
        <v>92</v>
      </c>
      <c r="Q23" s="158" t="s">
        <v>92</v>
      </c>
      <c r="R23" s="158" t="s">
        <v>92</v>
      </c>
      <c r="S23" s="158" t="s">
        <v>92</v>
      </c>
      <c r="T23" s="158" t="s">
        <v>92</v>
      </c>
      <c r="U23" s="158" t="s">
        <v>92</v>
      </c>
      <c r="V23" s="158" t="s">
        <v>92</v>
      </c>
      <c r="W23" s="158" t="s">
        <v>92</v>
      </c>
      <c r="X23" s="158" t="s">
        <v>92</v>
      </c>
      <c r="Y23" s="158" t="s">
        <v>92</v>
      </c>
      <c r="Z23" s="158" t="s">
        <v>92</v>
      </c>
      <c r="AA23" s="158" t="s">
        <v>92</v>
      </c>
      <c r="AB23" s="158" t="s">
        <v>92</v>
      </c>
      <c r="AC23" s="158" t="s">
        <v>92</v>
      </c>
      <c r="AD23" s="158" t="s">
        <v>92</v>
      </c>
      <c r="AE23" s="158" t="s">
        <v>92</v>
      </c>
      <c r="AF23" s="158" t="s">
        <v>92</v>
      </c>
      <c r="AG23" s="158" t="s">
        <v>92</v>
      </c>
      <c r="AH23" s="158" t="s">
        <v>92</v>
      </c>
      <c r="AI23" s="158" t="s">
        <v>92</v>
      </c>
      <c r="AJ23" s="158" t="s">
        <v>92</v>
      </c>
      <c r="AK23" s="158" t="s">
        <v>92</v>
      </c>
      <c r="AL23" s="158" t="s">
        <v>92</v>
      </c>
      <c r="AM23" s="158" t="s">
        <v>92</v>
      </c>
      <c r="AN23" s="158" t="s">
        <v>92</v>
      </c>
    </row>
    <row r="24" spans="1:40" ht="26.1" customHeight="1" thickBot="1" x14ac:dyDescent="0.3">
      <c r="A24" s="1" t="s">
        <v>89</v>
      </c>
      <c r="B24" s="17">
        <v>13</v>
      </c>
      <c r="C24" s="199" t="str">
        <f>VLOOKUP(B24,Começo!A:D,3,0)</f>
        <v>Mecânica dos Fluídos</v>
      </c>
      <c r="D24" s="199"/>
      <c r="E24" s="199"/>
      <c r="F24" s="199"/>
      <c r="G24" s="194">
        <f>IFERROR(COUNTIF(Tabela17[#This Row],"sim"),"")*Começo!D26+SUM(Tabela17[#This Row])</f>
        <v>0</v>
      </c>
      <c r="H24" s="194"/>
      <c r="I24" s="194"/>
      <c r="J24" s="194"/>
      <c r="K24" s="158" t="s">
        <v>92</v>
      </c>
      <c r="L24" s="158" t="s">
        <v>92</v>
      </c>
      <c r="M24" s="158" t="s">
        <v>92</v>
      </c>
      <c r="N24" s="158" t="s">
        <v>92</v>
      </c>
      <c r="O24" s="158" t="s">
        <v>92</v>
      </c>
      <c r="P24" s="158" t="s">
        <v>92</v>
      </c>
      <c r="Q24" s="158" t="s">
        <v>92</v>
      </c>
      <c r="R24" s="158" t="s">
        <v>92</v>
      </c>
      <c r="S24" s="158" t="s">
        <v>92</v>
      </c>
      <c r="T24" s="158" t="s">
        <v>92</v>
      </c>
      <c r="U24" s="158" t="s">
        <v>92</v>
      </c>
      <c r="V24" s="158" t="s">
        <v>92</v>
      </c>
      <c r="W24" s="158" t="s">
        <v>92</v>
      </c>
      <c r="X24" s="158" t="s">
        <v>92</v>
      </c>
      <c r="Y24" s="158" t="s">
        <v>92</v>
      </c>
      <c r="Z24" s="158" t="s">
        <v>92</v>
      </c>
      <c r="AA24" s="158" t="s">
        <v>92</v>
      </c>
      <c r="AB24" s="158" t="s">
        <v>92</v>
      </c>
      <c r="AC24" s="158" t="s">
        <v>92</v>
      </c>
      <c r="AD24" s="158" t="s">
        <v>92</v>
      </c>
      <c r="AE24" s="158" t="s">
        <v>92</v>
      </c>
      <c r="AF24" s="158" t="s">
        <v>92</v>
      </c>
      <c r="AG24" s="158" t="s">
        <v>92</v>
      </c>
      <c r="AH24" s="158" t="s">
        <v>92</v>
      </c>
      <c r="AI24" s="158" t="s">
        <v>92</v>
      </c>
      <c r="AJ24" s="158" t="s">
        <v>92</v>
      </c>
      <c r="AK24" s="158" t="s">
        <v>92</v>
      </c>
      <c r="AL24" s="158" t="s">
        <v>92</v>
      </c>
      <c r="AM24" s="158" t="s">
        <v>92</v>
      </c>
      <c r="AN24" s="158" t="s">
        <v>92</v>
      </c>
    </row>
    <row r="25" spans="1:40" ht="26.1" customHeight="1" thickBot="1" x14ac:dyDescent="0.3">
      <c r="A25" s="1" t="s">
        <v>89</v>
      </c>
      <c r="B25" s="17">
        <v>14</v>
      </c>
      <c r="C25" s="199" t="str">
        <f>VLOOKUP(B25,Começo!A:D,3,0)</f>
        <v>IoT</v>
      </c>
      <c r="D25" s="199"/>
      <c r="E25" s="199"/>
      <c r="F25" s="199"/>
      <c r="G25" s="194">
        <f>IFERROR(COUNTIF(Tabela17[#This Row],"sim"),"")*Começo!D27+SUM(Tabela17[#This Row])</f>
        <v>0</v>
      </c>
      <c r="H25" s="194"/>
      <c r="I25" s="194"/>
      <c r="J25" s="194"/>
      <c r="K25" s="158" t="s">
        <v>92</v>
      </c>
      <c r="L25" s="158" t="s">
        <v>92</v>
      </c>
      <c r="M25" s="158" t="s">
        <v>92</v>
      </c>
      <c r="N25" s="158" t="s">
        <v>92</v>
      </c>
      <c r="O25" s="158" t="s">
        <v>92</v>
      </c>
      <c r="P25" s="158" t="s">
        <v>92</v>
      </c>
      <c r="Q25" s="158" t="s">
        <v>92</v>
      </c>
      <c r="R25" s="158" t="s">
        <v>92</v>
      </c>
      <c r="S25" s="158" t="s">
        <v>92</v>
      </c>
      <c r="T25" s="158" t="s">
        <v>92</v>
      </c>
      <c r="U25" s="158" t="s">
        <v>92</v>
      </c>
      <c r="V25" s="158" t="s">
        <v>92</v>
      </c>
      <c r="W25" s="158" t="s">
        <v>92</v>
      </c>
      <c r="X25" s="158" t="s">
        <v>92</v>
      </c>
      <c r="Y25" s="158" t="s">
        <v>92</v>
      </c>
      <c r="Z25" s="158" t="s">
        <v>92</v>
      </c>
      <c r="AA25" s="158" t="s">
        <v>92</v>
      </c>
      <c r="AB25" s="158" t="s">
        <v>92</v>
      </c>
      <c r="AC25" s="158" t="s">
        <v>92</v>
      </c>
      <c r="AD25" s="158" t="s">
        <v>92</v>
      </c>
      <c r="AE25" s="158" t="s">
        <v>92</v>
      </c>
      <c r="AF25" s="158" t="s">
        <v>92</v>
      </c>
      <c r="AG25" s="158" t="s">
        <v>92</v>
      </c>
      <c r="AH25" s="158" t="s">
        <v>92</v>
      </c>
      <c r="AI25" s="158" t="s">
        <v>92</v>
      </c>
      <c r="AJ25" s="158" t="s">
        <v>92</v>
      </c>
      <c r="AK25" s="158" t="s">
        <v>92</v>
      </c>
      <c r="AL25" s="158" t="s">
        <v>92</v>
      </c>
      <c r="AM25" s="158" t="s">
        <v>92</v>
      </c>
      <c r="AN25" s="158" t="s">
        <v>92</v>
      </c>
    </row>
    <row r="26" spans="1:40" ht="26.1" customHeight="1" thickBot="1" x14ac:dyDescent="0.3">
      <c r="A26" s="1" t="s">
        <v>89</v>
      </c>
      <c r="B26" s="17">
        <v>15</v>
      </c>
      <c r="C26" s="199" t="str">
        <f>VLOOKUP(B26,Começo!A:D,3,0)</f>
        <v>Astrologia</v>
      </c>
      <c r="D26" s="199"/>
      <c r="E26" s="199"/>
      <c r="F26" s="199"/>
      <c r="G26" s="194">
        <f>IFERROR(COUNTIF(Tabela17[#This Row],"sim"),"")*Começo!D28+SUM(Tabela17[#This Row])</f>
        <v>0</v>
      </c>
      <c r="H26" s="194"/>
      <c r="I26" s="194"/>
      <c r="J26" s="194"/>
      <c r="K26" s="158" t="s">
        <v>92</v>
      </c>
      <c r="L26" s="158" t="s">
        <v>92</v>
      </c>
      <c r="M26" s="158" t="s">
        <v>92</v>
      </c>
      <c r="N26" s="158" t="s">
        <v>92</v>
      </c>
      <c r="O26" s="158" t="s">
        <v>92</v>
      </c>
      <c r="P26" s="158" t="s">
        <v>92</v>
      </c>
      <c r="Q26" s="158" t="s">
        <v>92</v>
      </c>
      <c r="R26" s="158" t="s">
        <v>92</v>
      </c>
      <c r="S26" s="158" t="s">
        <v>92</v>
      </c>
      <c r="T26" s="158" t="s">
        <v>92</v>
      </c>
      <c r="U26" s="158" t="s">
        <v>92</v>
      </c>
      <c r="V26" s="158" t="s">
        <v>92</v>
      </c>
      <c r="W26" s="158" t="s">
        <v>92</v>
      </c>
      <c r="X26" s="158" t="s">
        <v>92</v>
      </c>
      <c r="Y26" s="158" t="s">
        <v>92</v>
      </c>
      <c r="Z26" s="158" t="s">
        <v>92</v>
      </c>
      <c r="AA26" s="158" t="s">
        <v>92</v>
      </c>
      <c r="AB26" s="158" t="s">
        <v>92</v>
      </c>
      <c r="AC26" s="158" t="s">
        <v>92</v>
      </c>
      <c r="AD26" s="158" t="s">
        <v>92</v>
      </c>
      <c r="AE26" s="158" t="s">
        <v>92</v>
      </c>
      <c r="AF26" s="158" t="s">
        <v>92</v>
      </c>
      <c r="AG26" s="158" t="s">
        <v>92</v>
      </c>
      <c r="AH26" s="158" t="s">
        <v>92</v>
      </c>
      <c r="AI26" s="158" t="s">
        <v>92</v>
      </c>
      <c r="AJ26" s="158" t="s">
        <v>92</v>
      </c>
      <c r="AK26" s="158" t="s">
        <v>92</v>
      </c>
      <c r="AL26" s="158" t="s">
        <v>92</v>
      </c>
      <c r="AM26" s="158" t="s">
        <v>92</v>
      </c>
      <c r="AN26" s="158" t="s">
        <v>92</v>
      </c>
    </row>
    <row r="27" spans="1:40" ht="26.1" customHeight="1" thickBot="1" x14ac:dyDescent="0.3">
      <c r="A27" s="1" t="s">
        <v>89</v>
      </c>
      <c r="B27" s="17">
        <v>16</v>
      </c>
      <c r="C27" s="199" t="str">
        <f>VLOOKUP(B27,Começo!A:D,3,0)</f>
        <v>Colorimetria</v>
      </c>
      <c r="D27" s="199"/>
      <c r="E27" s="199"/>
      <c r="F27" s="199"/>
      <c r="G27" s="194">
        <f>IFERROR(COUNTIF(Tabela17[#This Row],"sim"),"")*Começo!D29+SUM(Tabela17[#This Row])</f>
        <v>0</v>
      </c>
      <c r="H27" s="194"/>
      <c r="I27" s="194"/>
      <c r="J27" s="194"/>
      <c r="K27" s="158" t="s">
        <v>92</v>
      </c>
      <c r="L27" s="158" t="s">
        <v>92</v>
      </c>
      <c r="M27" s="158" t="s">
        <v>92</v>
      </c>
      <c r="N27" s="158" t="s">
        <v>92</v>
      </c>
      <c r="O27" s="158" t="s">
        <v>92</v>
      </c>
      <c r="P27" s="158" t="s">
        <v>92</v>
      </c>
      <c r="Q27" s="158" t="s">
        <v>92</v>
      </c>
      <c r="R27" s="158" t="s">
        <v>92</v>
      </c>
      <c r="S27" s="158" t="s">
        <v>92</v>
      </c>
      <c r="T27" s="158" t="s">
        <v>92</v>
      </c>
      <c r="U27" s="158" t="s">
        <v>92</v>
      </c>
      <c r="V27" s="158" t="s">
        <v>92</v>
      </c>
      <c r="W27" s="158" t="s">
        <v>92</v>
      </c>
      <c r="X27" s="158" t="s">
        <v>92</v>
      </c>
      <c r="Y27" s="158" t="s">
        <v>92</v>
      </c>
      <c r="Z27" s="158" t="s">
        <v>92</v>
      </c>
      <c r="AA27" s="158" t="s">
        <v>92</v>
      </c>
      <c r="AB27" s="158" t="s">
        <v>92</v>
      </c>
      <c r="AC27" s="158" t="s">
        <v>92</v>
      </c>
      <c r="AD27" s="158" t="s">
        <v>92</v>
      </c>
      <c r="AE27" s="158" t="s">
        <v>92</v>
      </c>
      <c r="AF27" s="158" t="s">
        <v>92</v>
      </c>
      <c r="AG27" s="158" t="s">
        <v>92</v>
      </c>
      <c r="AH27" s="158" t="s">
        <v>92</v>
      </c>
      <c r="AI27" s="158" t="s">
        <v>92</v>
      </c>
      <c r="AJ27" s="158" t="s">
        <v>92</v>
      </c>
      <c r="AK27" s="158" t="s">
        <v>92</v>
      </c>
      <c r="AL27" s="158" t="s">
        <v>92</v>
      </c>
      <c r="AM27" s="158" t="s">
        <v>92</v>
      </c>
      <c r="AN27" s="158" t="s">
        <v>92</v>
      </c>
    </row>
    <row r="28" spans="1:40" ht="16.5" x14ac:dyDescent="0.25">
      <c r="K28" s="159">
        <f>SUBTOTAL(109,Tabela17[1-jun])</f>
        <v>0</v>
      </c>
      <c r="L28" s="159">
        <f>SUBTOTAL(109,Tabela17[2-jun])</f>
        <v>0</v>
      </c>
      <c r="M28" s="159">
        <f>SUBTOTAL(109,Tabela17[3-jun])</f>
        <v>0</v>
      </c>
      <c r="N28" s="159">
        <f>SUBTOTAL(109,Tabela17[4-jun])</f>
        <v>0</v>
      </c>
      <c r="O28" s="159">
        <f>SUBTOTAL(109,Tabela17[5-jun])</f>
        <v>0</v>
      </c>
      <c r="P28" s="159">
        <f>SUBTOTAL(109,Tabela17[6-jun])</f>
        <v>0</v>
      </c>
      <c r="Q28" s="159">
        <f>SUBTOTAL(109,Tabela17[7-jun])</f>
        <v>0</v>
      </c>
      <c r="R28" s="159">
        <f>SUBTOTAL(109,Tabela17[8-jun])</f>
        <v>0</v>
      </c>
      <c r="S28" s="159">
        <f>SUBTOTAL(109,Tabela17[9-jun])</f>
        <v>0</v>
      </c>
      <c r="T28" s="159">
        <f>SUBTOTAL(109,Tabela17[10-jun])</f>
        <v>0</v>
      </c>
      <c r="U28" s="159">
        <f>SUBTOTAL(109,Tabela17[11-jun])</f>
        <v>0</v>
      </c>
      <c r="V28" s="159">
        <f>SUBTOTAL(109,Tabela17[12-jun])</f>
        <v>0</v>
      </c>
      <c r="W28" s="159">
        <f>SUBTOTAL(109,Tabela17[13-jun])</f>
        <v>0</v>
      </c>
      <c r="X28" s="159">
        <f>SUBTOTAL(109,Tabela17[14-jun])</f>
        <v>0</v>
      </c>
      <c r="Y28" s="159">
        <f>SUBTOTAL(109,Tabela17[15-jun])</f>
        <v>0</v>
      </c>
      <c r="Z28" s="159">
        <f>SUBTOTAL(109,Tabela17[16-jun])</f>
        <v>0</v>
      </c>
      <c r="AA28" s="159">
        <f>SUBTOTAL(109,Tabela17[17-jun])</f>
        <v>0</v>
      </c>
      <c r="AB28" s="159">
        <f>SUBTOTAL(109,Tabela17[18-jun])</f>
        <v>0</v>
      </c>
      <c r="AC28" s="159">
        <f>SUBTOTAL(109,Tabela17[19-jun])</f>
        <v>0</v>
      </c>
      <c r="AD28" s="159">
        <f>SUBTOTAL(109,Tabela17[20-jun])</f>
        <v>0</v>
      </c>
      <c r="AE28" s="159">
        <f>SUBTOTAL(109,Tabela17[21-jun])</f>
        <v>0</v>
      </c>
      <c r="AF28" s="159">
        <f>SUBTOTAL(109,Tabela17[22-jun])</f>
        <v>0</v>
      </c>
      <c r="AG28" s="159">
        <f>SUBTOTAL(109,Tabela17[23-jun])</f>
        <v>0</v>
      </c>
      <c r="AH28" s="159">
        <f>SUBTOTAL(109,Tabela17[24-jun])</f>
        <v>0</v>
      </c>
      <c r="AI28" s="159">
        <f>SUBTOTAL(109,Tabela17[25-jun])</f>
        <v>0</v>
      </c>
      <c r="AJ28" s="159">
        <f>SUBTOTAL(109,Tabela17[26-jun])</f>
        <v>0</v>
      </c>
      <c r="AK28" s="159">
        <f>SUBTOTAL(109,Tabela17[27-jun])</f>
        <v>0</v>
      </c>
      <c r="AL28" s="159">
        <f>SUBTOTAL(109,Tabela17[28-jun])</f>
        <v>0</v>
      </c>
      <c r="AM28" s="159">
        <f>SUBTOTAL(109,Tabela17[29-jun])</f>
        <v>0</v>
      </c>
      <c r="AN28" s="159">
        <f>SUBTOTAL(109,Tabela17[30-jun])</f>
        <v>0</v>
      </c>
    </row>
    <row r="30" spans="1:40" x14ac:dyDescent="0.25">
      <c r="B30" s="188"/>
      <c r="C30" s="188"/>
    </row>
    <row r="31" spans="1:40" x14ac:dyDescent="0.25">
      <c r="B31" s="188"/>
      <c r="C31" s="188"/>
    </row>
  </sheetData>
  <sheetProtection algorithmName="SHA-512" hashValue="Qs01sIDImvNHm9Oj5B3U1Yc+s7a7ZEO8dB2D1elKNWQx4Y5ANlof1uhYavuNqG1h0igGbr8Cmc1Y6Szeox82Xw==" saltValue="5uQCZBD2JlIgSUxyKGfHZg==" spinCount="100000" sheet="1" objects="1" scenarios="1"/>
  <mergeCells count="49">
    <mergeCell ref="C26:F26"/>
    <mergeCell ref="G26:J26"/>
    <mergeCell ref="C27:F27"/>
    <mergeCell ref="G27:J27"/>
    <mergeCell ref="C23:F23"/>
    <mergeCell ref="G23:J23"/>
    <mergeCell ref="C24:F24"/>
    <mergeCell ref="G24:J24"/>
    <mergeCell ref="C25:F25"/>
    <mergeCell ref="G25:J25"/>
    <mergeCell ref="C20:F20"/>
    <mergeCell ref="G20:J20"/>
    <mergeCell ref="C21:F21"/>
    <mergeCell ref="G21:J21"/>
    <mergeCell ref="C22:F22"/>
    <mergeCell ref="G22:J22"/>
    <mergeCell ref="C17:F17"/>
    <mergeCell ref="G17:J17"/>
    <mergeCell ref="C18:F18"/>
    <mergeCell ref="G18:J18"/>
    <mergeCell ref="C19:F19"/>
    <mergeCell ref="G19:J19"/>
    <mergeCell ref="C14:F14"/>
    <mergeCell ref="G14:J14"/>
    <mergeCell ref="C15:F15"/>
    <mergeCell ref="G15:J15"/>
    <mergeCell ref="C16:F16"/>
    <mergeCell ref="G16:J16"/>
    <mergeCell ref="H8:H9"/>
    <mergeCell ref="I8:I9"/>
    <mergeCell ref="J8:J9"/>
    <mergeCell ref="C13:F13"/>
    <mergeCell ref="G13:J13"/>
    <mergeCell ref="B30:C31"/>
    <mergeCell ref="L8:L9"/>
    <mergeCell ref="M8:M9"/>
    <mergeCell ref="O7:Q7"/>
    <mergeCell ref="O8:Q9"/>
    <mergeCell ref="B11:F11"/>
    <mergeCell ref="G11:J11"/>
    <mergeCell ref="K8:K9"/>
    <mergeCell ref="C12:F12"/>
    <mergeCell ref="G12:J12"/>
    <mergeCell ref="B8:B9"/>
    <mergeCell ref="C8:C9"/>
    <mergeCell ref="D8:D9"/>
    <mergeCell ref="E8:E9"/>
    <mergeCell ref="F8:F9"/>
    <mergeCell ref="G8:G9"/>
  </mergeCells>
  <conditionalFormatting sqref="K12:AN27">
    <cfRule type="containsText" dxfId="75" priority="3" operator="containsText" text="não">
      <formula>NOT(ISERROR(SEARCH("não",K12)))</formula>
    </cfRule>
    <cfRule type="containsText" dxfId="74" priority="4" operator="containsText" text="sim">
      <formula>NOT(ISERROR(SEARCH("sim",K12)))</formula>
    </cfRule>
  </conditionalFormatting>
  <conditionalFormatting sqref="G12:J2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{45AFC6F7-905A-4172-BB90-C6BF37A9CB77}</x14:id>
        </ext>
      </extLst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{EC0CC495-4AE0-4D76-8668-282E1FA5C272}</x14:id>
        </ext>
      </extLst>
    </cfRule>
  </conditionalFormatting>
  <dataValidations count="1">
    <dataValidation type="list" allowBlank="1" showInputMessage="1" showErrorMessage="1" sqref="K12:AN27" xr:uid="{00000000-0002-0000-1900-000000000000}">
      <formula1>"Sim,Não,00:30,01:00,01:30,02:00,02:30,03:00,03:30,04:00"</formula1>
    </dataValidation>
  </dataValidations>
  <hyperlinks>
    <hyperlink ref="B8" location="Desempenho!A1" display="janeiro" xr:uid="{00000000-0004-0000-1900-000000000000}"/>
    <hyperlink ref="C8" location="fev!A1" display="Fevereiro" xr:uid="{00000000-0004-0000-1900-000001000000}"/>
    <hyperlink ref="D8" location="mar!A1" display="Março" xr:uid="{00000000-0004-0000-1900-000002000000}"/>
    <hyperlink ref="E8" location="abr!A1" display="Abril" xr:uid="{00000000-0004-0000-1900-000003000000}"/>
    <hyperlink ref="F8" location="maio!A1" display="Maio" xr:uid="{00000000-0004-0000-1900-000004000000}"/>
    <hyperlink ref="G8" location="jun!A1" display="Junho" xr:uid="{00000000-0004-0000-1900-000005000000}"/>
    <hyperlink ref="H8" location="jul!A1" display="Julho" xr:uid="{00000000-0004-0000-1900-000006000000}"/>
    <hyperlink ref="I8" location="ago!A1" display="Agosto" xr:uid="{00000000-0004-0000-1900-000007000000}"/>
    <hyperlink ref="J8" location="set!A1" display="Setembro" xr:uid="{00000000-0004-0000-1900-000008000000}"/>
    <hyperlink ref="K8" location="out!A1" display="Outubro" xr:uid="{00000000-0004-0000-1900-000009000000}"/>
    <hyperlink ref="L8" location="nov!A1" display="Novembro" xr:uid="{00000000-0004-0000-1900-00000A000000}"/>
    <hyperlink ref="M8" location="dez!A1" display="Dezembro" xr:uid="{00000000-0004-0000-1900-00000B000000}"/>
  </hyperlink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5AFC6F7-905A-4172-BB90-C6BF37A9CB77}">
            <x14:dataBar minLength="0" maxLength="100" gradient="0">
              <x14:cfvo type="autoMin"/>
              <x14:cfvo type="autoMax"/>
              <x14:negativeFillColor rgb="FFFF0000"/>
              <x14:axisColor theme="0"/>
            </x14:dataBar>
          </x14:cfRule>
          <x14:cfRule type="dataBar" id="{EC0CC495-4AE0-4D76-8668-282E1FA5C2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G12:J27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27"/>
  <dimension ref="A1:AO31"/>
  <sheetViews>
    <sheetView showGridLines="0" zoomScaleNormal="100" workbookViewId="0">
      <pane ySplit="4" topLeftCell="A5" activePane="bottomLeft" state="frozen"/>
      <selection activeCell="A5" sqref="A5"/>
      <selection pane="bottomLeft" activeCell="I8" sqref="I8:I9"/>
    </sheetView>
  </sheetViews>
  <sheetFormatPr defaultRowHeight="15" x14ac:dyDescent="0.25"/>
  <cols>
    <col min="1" max="1" width="3.85546875" style="27" customWidth="1"/>
    <col min="2" max="2" width="8.140625" style="27" bestFit="1" customWidth="1"/>
    <col min="3" max="3" width="10.5703125" style="27" bestFit="1" customWidth="1"/>
    <col min="4" max="4" width="7.5703125" style="27" bestFit="1" customWidth="1"/>
    <col min="5" max="5" width="6.140625" style="27" bestFit="1" customWidth="1"/>
    <col min="6" max="6" width="6.28515625" style="27" bestFit="1" customWidth="1"/>
    <col min="7" max="7" width="7.42578125" style="27" bestFit="1" customWidth="1"/>
    <col min="8" max="8" width="6.7109375" style="27" bestFit="1" customWidth="1"/>
    <col min="9" max="9" width="8.5703125" style="27" bestFit="1" customWidth="1"/>
    <col min="10" max="10" width="11" style="27" bestFit="1" customWidth="1"/>
    <col min="11" max="11" width="9.7109375" style="27" bestFit="1" customWidth="1"/>
    <col min="12" max="12" width="12" style="27" bestFit="1" customWidth="1"/>
    <col min="13" max="13" width="11.5703125" style="27" bestFit="1" customWidth="1"/>
    <col min="14" max="16384" width="9.140625" style="27"/>
  </cols>
  <sheetData>
    <row r="1" spans="1:41" s="38" customFormat="1" x14ac:dyDescent="0.25"/>
    <row r="2" spans="1:41" s="38" customFormat="1" x14ac:dyDescent="0.25"/>
    <row r="3" spans="1:41" s="38" customFormat="1" x14ac:dyDescent="0.25"/>
    <row r="4" spans="1:41" s="38" customFormat="1" x14ac:dyDescent="0.25"/>
    <row r="5" spans="1:41" s="63" customFormat="1" ht="3.95" customHeight="1" x14ac:dyDescent="0.25"/>
    <row r="6" spans="1:41" ht="15" customHeight="1" x14ac:dyDescent="0.25"/>
    <row r="7" spans="1:41" ht="15" customHeight="1" thickBot="1" x14ac:dyDescent="0.3">
      <c r="O7" s="246" t="s">
        <v>36</v>
      </c>
      <c r="P7" s="246"/>
      <c r="Q7" s="246"/>
    </row>
    <row r="8" spans="1:41" ht="15" customHeight="1" x14ac:dyDescent="0.25">
      <c r="A8" s="31"/>
      <c r="B8" s="250" t="s">
        <v>133</v>
      </c>
      <c r="C8" s="248" t="s">
        <v>25</v>
      </c>
      <c r="D8" s="248" t="s">
        <v>26</v>
      </c>
      <c r="E8" s="248" t="s">
        <v>27</v>
      </c>
      <c r="F8" s="248" t="s">
        <v>28</v>
      </c>
      <c r="G8" s="248" t="s">
        <v>29</v>
      </c>
      <c r="H8" s="248" t="s">
        <v>30</v>
      </c>
      <c r="I8" s="248" t="s">
        <v>31</v>
      </c>
      <c r="J8" s="248" t="s">
        <v>32</v>
      </c>
      <c r="K8" s="248" t="s">
        <v>33</v>
      </c>
      <c r="L8" s="248" t="s">
        <v>34</v>
      </c>
      <c r="M8" s="248" t="s">
        <v>35</v>
      </c>
      <c r="N8" s="51"/>
      <c r="O8" s="196">
        <f>SUM(G12:J27)</f>
        <v>0</v>
      </c>
      <c r="P8" s="196"/>
      <c r="Q8" s="196"/>
    </row>
    <row r="9" spans="1:41" ht="15" customHeight="1" x14ac:dyDescent="0.25">
      <c r="A9" s="31"/>
      <c r="B9" s="249"/>
      <c r="C9" s="249"/>
      <c r="D9" s="249"/>
      <c r="E9" s="249"/>
      <c r="F9" s="249"/>
      <c r="G9" s="249"/>
      <c r="H9" s="249"/>
      <c r="I9" s="249"/>
      <c r="J9" s="249"/>
      <c r="K9" s="249"/>
      <c r="L9" s="249"/>
      <c r="M9" s="249"/>
      <c r="N9" s="52"/>
      <c r="O9" s="196"/>
      <c r="P9" s="196"/>
      <c r="Q9" s="196"/>
    </row>
    <row r="10" spans="1:41" ht="15" customHeight="1" x14ac:dyDescent="0.25">
      <c r="A10" s="18"/>
      <c r="B10" s="18"/>
      <c r="C10" s="18"/>
      <c r="D10" s="18"/>
      <c r="E10" s="18"/>
      <c r="F10" s="18"/>
      <c r="G10" s="18"/>
      <c r="H10" s="18"/>
      <c r="I10" s="18"/>
      <c r="J10" s="18"/>
      <c r="O10" s="32"/>
      <c r="P10" s="32"/>
      <c r="Q10" s="32"/>
    </row>
    <row r="11" spans="1:41" ht="20.25" x14ac:dyDescent="0.25">
      <c r="A11" s="19"/>
      <c r="B11" s="198" t="s">
        <v>134</v>
      </c>
      <c r="C11" s="198"/>
      <c r="D11" s="198"/>
      <c r="E11" s="198"/>
      <c r="F11" s="198"/>
      <c r="G11" s="195" t="s">
        <v>37</v>
      </c>
      <c r="H11" s="195"/>
      <c r="I11" s="195"/>
      <c r="J11" s="195"/>
      <c r="K11" s="21" t="s">
        <v>293</v>
      </c>
      <c r="L11" s="21" t="s">
        <v>294</v>
      </c>
      <c r="M11" s="21" t="s">
        <v>295</v>
      </c>
      <c r="N11" s="21" t="s">
        <v>296</v>
      </c>
      <c r="O11" s="21" t="s">
        <v>297</v>
      </c>
      <c r="P11" s="21" t="s">
        <v>298</v>
      </c>
      <c r="Q11" s="21" t="s">
        <v>299</v>
      </c>
      <c r="R11" s="21" t="s">
        <v>300</v>
      </c>
      <c r="S11" s="21" t="s">
        <v>301</v>
      </c>
      <c r="T11" s="21" t="s">
        <v>302</v>
      </c>
      <c r="U11" s="21" t="s">
        <v>303</v>
      </c>
      <c r="V11" s="21" t="s">
        <v>304</v>
      </c>
      <c r="W11" s="21" t="s">
        <v>305</v>
      </c>
      <c r="X11" s="21" t="s">
        <v>306</v>
      </c>
      <c r="Y11" s="21" t="s">
        <v>307</v>
      </c>
      <c r="Z11" s="21" t="s">
        <v>308</v>
      </c>
      <c r="AA11" s="21" t="s">
        <v>309</v>
      </c>
      <c r="AB11" s="21" t="s">
        <v>310</v>
      </c>
      <c r="AC11" s="21" t="s">
        <v>311</v>
      </c>
      <c r="AD11" s="21" t="s">
        <v>312</v>
      </c>
      <c r="AE11" s="21" t="s">
        <v>313</v>
      </c>
      <c r="AF11" s="21" t="s">
        <v>314</v>
      </c>
      <c r="AG11" s="21" t="s">
        <v>315</v>
      </c>
      <c r="AH11" s="21" t="s">
        <v>316</v>
      </c>
      <c r="AI11" s="21" t="s">
        <v>317</v>
      </c>
      <c r="AJ11" s="21" t="s">
        <v>318</v>
      </c>
      <c r="AK11" s="21" t="s">
        <v>319</v>
      </c>
      <c r="AL11" s="21" t="s">
        <v>320</v>
      </c>
      <c r="AM11" s="21" t="s">
        <v>321</v>
      </c>
      <c r="AN11" s="21" t="s">
        <v>322</v>
      </c>
      <c r="AO11" s="21" t="s">
        <v>323</v>
      </c>
    </row>
    <row r="12" spans="1:41" ht="26.1" customHeight="1" thickBot="1" x14ac:dyDescent="0.3">
      <c r="A12" s="1" t="s">
        <v>89</v>
      </c>
      <c r="B12" s="16">
        <v>1</v>
      </c>
      <c r="C12" s="199" t="str">
        <f>VLOOKUP(B12,Começo!A:D,3,0)</f>
        <v>Português</v>
      </c>
      <c r="D12" s="199"/>
      <c r="E12" s="199"/>
      <c r="F12" s="199"/>
      <c r="G12" s="194">
        <f>IFERROR(COUNTIF(Tabela18[#This Row],"sim"),"")*Começo!D14+SUM(Tabela18[#This Row])</f>
        <v>0</v>
      </c>
      <c r="H12" s="194"/>
      <c r="I12" s="194"/>
      <c r="J12" s="194"/>
      <c r="K12" s="158" t="s">
        <v>92</v>
      </c>
      <c r="L12" s="158" t="s">
        <v>92</v>
      </c>
      <c r="M12" s="158" t="s">
        <v>92</v>
      </c>
      <c r="N12" s="158" t="s">
        <v>92</v>
      </c>
      <c r="O12" s="158" t="s">
        <v>92</v>
      </c>
      <c r="P12" s="158" t="s">
        <v>92</v>
      </c>
      <c r="Q12" s="158" t="s">
        <v>92</v>
      </c>
      <c r="R12" s="158" t="s">
        <v>92</v>
      </c>
      <c r="S12" s="158" t="s">
        <v>92</v>
      </c>
      <c r="T12" s="158" t="s">
        <v>92</v>
      </c>
      <c r="U12" s="158" t="s">
        <v>92</v>
      </c>
      <c r="V12" s="158" t="s">
        <v>92</v>
      </c>
      <c r="W12" s="158" t="s">
        <v>92</v>
      </c>
      <c r="X12" s="158" t="s">
        <v>92</v>
      </c>
      <c r="Y12" s="158" t="s">
        <v>92</v>
      </c>
      <c r="Z12" s="158" t="s">
        <v>92</v>
      </c>
      <c r="AA12" s="158" t="s">
        <v>92</v>
      </c>
      <c r="AB12" s="158" t="s">
        <v>92</v>
      </c>
      <c r="AC12" s="158" t="s">
        <v>92</v>
      </c>
      <c r="AD12" s="158" t="s">
        <v>92</v>
      </c>
      <c r="AE12" s="158" t="s">
        <v>92</v>
      </c>
      <c r="AF12" s="158" t="s">
        <v>92</v>
      </c>
      <c r="AG12" s="158" t="s">
        <v>92</v>
      </c>
      <c r="AH12" s="158" t="s">
        <v>92</v>
      </c>
      <c r="AI12" s="158" t="s">
        <v>92</v>
      </c>
      <c r="AJ12" s="158" t="s">
        <v>92</v>
      </c>
      <c r="AK12" s="158" t="s">
        <v>92</v>
      </c>
      <c r="AL12" s="158" t="s">
        <v>92</v>
      </c>
      <c r="AM12" s="158" t="s">
        <v>92</v>
      </c>
      <c r="AN12" s="158" t="s">
        <v>92</v>
      </c>
      <c r="AO12" s="158" t="s">
        <v>92</v>
      </c>
    </row>
    <row r="13" spans="1:41" ht="26.1" customHeight="1" thickBot="1" x14ac:dyDescent="0.3">
      <c r="A13" s="1" t="s">
        <v>89</v>
      </c>
      <c r="B13" s="17">
        <v>2</v>
      </c>
      <c r="C13" s="199" t="str">
        <f>VLOOKUP(B13,Começo!A:D,3,0)</f>
        <v>Matemática</v>
      </c>
      <c r="D13" s="199"/>
      <c r="E13" s="199"/>
      <c r="F13" s="199"/>
      <c r="G13" s="194">
        <f>IFERROR(COUNTIF(Tabela18[#This Row],"sim"),"")*Começo!D15+SUM(Tabela18[#This Row])</f>
        <v>0</v>
      </c>
      <c r="H13" s="194"/>
      <c r="I13" s="194"/>
      <c r="J13" s="194"/>
      <c r="K13" s="158" t="s">
        <v>92</v>
      </c>
      <c r="L13" s="158" t="s">
        <v>92</v>
      </c>
      <c r="M13" s="158" t="s">
        <v>92</v>
      </c>
      <c r="N13" s="158" t="s">
        <v>92</v>
      </c>
      <c r="O13" s="158" t="s">
        <v>92</v>
      </c>
      <c r="P13" s="158" t="s">
        <v>92</v>
      </c>
      <c r="Q13" s="158" t="s">
        <v>92</v>
      </c>
      <c r="R13" s="158" t="s">
        <v>92</v>
      </c>
      <c r="S13" s="158" t="s">
        <v>92</v>
      </c>
      <c r="T13" s="158" t="s">
        <v>92</v>
      </c>
      <c r="U13" s="158" t="s">
        <v>92</v>
      </c>
      <c r="V13" s="158" t="s">
        <v>92</v>
      </c>
      <c r="W13" s="158" t="s">
        <v>92</v>
      </c>
      <c r="X13" s="158" t="s">
        <v>92</v>
      </c>
      <c r="Y13" s="158" t="s">
        <v>92</v>
      </c>
      <c r="Z13" s="158" t="s">
        <v>92</v>
      </c>
      <c r="AA13" s="158" t="s">
        <v>92</v>
      </c>
      <c r="AB13" s="158" t="s">
        <v>92</v>
      </c>
      <c r="AC13" s="158" t="s">
        <v>92</v>
      </c>
      <c r="AD13" s="158" t="s">
        <v>92</v>
      </c>
      <c r="AE13" s="158" t="s">
        <v>92</v>
      </c>
      <c r="AF13" s="158" t="s">
        <v>92</v>
      </c>
      <c r="AG13" s="158" t="s">
        <v>92</v>
      </c>
      <c r="AH13" s="158" t="s">
        <v>92</v>
      </c>
      <c r="AI13" s="158" t="s">
        <v>92</v>
      </c>
      <c r="AJ13" s="158" t="s">
        <v>92</v>
      </c>
      <c r="AK13" s="158" t="s">
        <v>92</v>
      </c>
      <c r="AL13" s="158" t="s">
        <v>92</v>
      </c>
      <c r="AM13" s="158" t="s">
        <v>92</v>
      </c>
      <c r="AN13" s="158" t="s">
        <v>92</v>
      </c>
      <c r="AO13" s="158" t="s">
        <v>92</v>
      </c>
    </row>
    <row r="14" spans="1:41" ht="26.1" customHeight="1" thickBot="1" x14ac:dyDescent="0.3">
      <c r="A14" s="1" t="s">
        <v>89</v>
      </c>
      <c r="B14" s="17">
        <v>3</v>
      </c>
      <c r="C14" s="199" t="str">
        <f>VLOOKUP(B14,Começo!A:D,3,0)</f>
        <v>História</v>
      </c>
      <c r="D14" s="199"/>
      <c r="E14" s="199"/>
      <c r="F14" s="199"/>
      <c r="G14" s="194">
        <f>IFERROR(COUNTIF(Tabela18[#This Row],"sim"),"")*Começo!D16+SUM(Tabela18[#This Row])</f>
        <v>0</v>
      </c>
      <c r="H14" s="194"/>
      <c r="I14" s="194"/>
      <c r="J14" s="194"/>
      <c r="K14" s="158" t="s">
        <v>92</v>
      </c>
      <c r="L14" s="158" t="s">
        <v>92</v>
      </c>
      <c r="M14" s="158" t="s">
        <v>92</v>
      </c>
      <c r="N14" s="158" t="s">
        <v>92</v>
      </c>
      <c r="O14" s="158" t="s">
        <v>92</v>
      </c>
      <c r="P14" s="158" t="s">
        <v>92</v>
      </c>
      <c r="Q14" s="158" t="s">
        <v>92</v>
      </c>
      <c r="R14" s="158" t="s">
        <v>92</v>
      </c>
      <c r="S14" s="158" t="s">
        <v>92</v>
      </c>
      <c r="T14" s="158" t="s">
        <v>92</v>
      </c>
      <c r="U14" s="158" t="s">
        <v>92</v>
      </c>
      <c r="V14" s="158" t="s">
        <v>92</v>
      </c>
      <c r="W14" s="158" t="s">
        <v>92</v>
      </c>
      <c r="X14" s="158" t="s">
        <v>92</v>
      </c>
      <c r="Y14" s="158" t="s">
        <v>92</v>
      </c>
      <c r="Z14" s="158" t="s">
        <v>92</v>
      </c>
      <c r="AA14" s="158" t="s">
        <v>92</v>
      </c>
      <c r="AB14" s="158" t="s">
        <v>92</v>
      </c>
      <c r="AC14" s="158" t="s">
        <v>92</v>
      </c>
      <c r="AD14" s="158" t="s">
        <v>92</v>
      </c>
      <c r="AE14" s="158" t="s">
        <v>92</v>
      </c>
      <c r="AF14" s="158" t="s">
        <v>92</v>
      </c>
      <c r="AG14" s="158" t="s">
        <v>92</v>
      </c>
      <c r="AH14" s="158" t="s">
        <v>92</v>
      </c>
      <c r="AI14" s="158" t="s">
        <v>92</v>
      </c>
      <c r="AJ14" s="158" t="s">
        <v>92</v>
      </c>
      <c r="AK14" s="158" t="s">
        <v>92</v>
      </c>
      <c r="AL14" s="158" t="s">
        <v>92</v>
      </c>
      <c r="AM14" s="158" t="s">
        <v>92</v>
      </c>
      <c r="AN14" s="158" t="s">
        <v>92</v>
      </c>
      <c r="AO14" s="158" t="s">
        <v>92</v>
      </c>
    </row>
    <row r="15" spans="1:41" ht="26.1" customHeight="1" thickBot="1" x14ac:dyDescent="0.3">
      <c r="A15" s="1" t="s">
        <v>89</v>
      </c>
      <c r="B15" s="17">
        <v>4</v>
      </c>
      <c r="C15" s="199" t="str">
        <f>VLOOKUP(B15,Começo!A:D,3,0)</f>
        <v>Física</v>
      </c>
      <c r="D15" s="199"/>
      <c r="E15" s="199"/>
      <c r="F15" s="199"/>
      <c r="G15" s="194">
        <f>IFERROR(COUNTIF(Tabela18[#This Row],"sim"),"")*Começo!D17+SUM(Tabela18[#This Row])</f>
        <v>0</v>
      </c>
      <c r="H15" s="194"/>
      <c r="I15" s="194"/>
      <c r="J15" s="194"/>
      <c r="K15" s="158" t="s">
        <v>92</v>
      </c>
      <c r="L15" s="158" t="s">
        <v>92</v>
      </c>
      <c r="M15" s="158" t="s">
        <v>92</v>
      </c>
      <c r="N15" s="158" t="s">
        <v>92</v>
      </c>
      <c r="O15" s="158" t="s">
        <v>92</v>
      </c>
      <c r="P15" s="158" t="s">
        <v>92</v>
      </c>
      <c r="Q15" s="158" t="s">
        <v>92</v>
      </c>
      <c r="R15" s="158" t="s">
        <v>92</v>
      </c>
      <c r="S15" s="158" t="s">
        <v>92</v>
      </c>
      <c r="T15" s="158" t="s">
        <v>92</v>
      </c>
      <c r="U15" s="158" t="s">
        <v>92</v>
      </c>
      <c r="V15" s="158" t="s">
        <v>92</v>
      </c>
      <c r="W15" s="158" t="s">
        <v>92</v>
      </c>
      <c r="X15" s="158" t="s">
        <v>92</v>
      </c>
      <c r="Y15" s="158" t="s">
        <v>92</v>
      </c>
      <c r="Z15" s="158" t="s">
        <v>92</v>
      </c>
      <c r="AA15" s="158" t="s">
        <v>92</v>
      </c>
      <c r="AB15" s="158" t="s">
        <v>92</v>
      </c>
      <c r="AC15" s="158" t="s">
        <v>92</v>
      </c>
      <c r="AD15" s="158" t="s">
        <v>92</v>
      </c>
      <c r="AE15" s="158" t="s">
        <v>92</v>
      </c>
      <c r="AF15" s="158" t="s">
        <v>92</v>
      </c>
      <c r="AG15" s="158" t="s">
        <v>92</v>
      </c>
      <c r="AH15" s="158" t="s">
        <v>92</v>
      </c>
      <c r="AI15" s="158" t="s">
        <v>92</v>
      </c>
      <c r="AJ15" s="158" t="s">
        <v>92</v>
      </c>
      <c r="AK15" s="158" t="s">
        <v>92</v>
      </c>
      <c r="AL15" s="158" t="s">
        <v>92</v>
      </c>
      <c r="AM15" s="158" t="s">
        <v>92</v>
      </c>
      <c r="AN15" s="158" t="s">
        <v>92</v>
      </c>
      <c r="AO15" s="158" t="s">
        <v>92</v>
      </c>
    </row>
    <row r="16" spans="1:41" ht="26.1" customHeight="1" thickBot="1" x14ac:dyDescent="0.3">
      <c r="A16" s="1" t="s">
        <v>89</v>
      </c>
      <c r="B16" s="17">
        <v>5</v>
      </c>
      <c r="C16" s="199" t="str">
        <f>VLOOKUP(B16,Começo!A:D,3,0)</f>
        <v>Quimíca</v>
      </c>
      <c r="D16" s="199"/>
      <c r="E16" s="199"/>
      <c r="F16" s="199"/>
      <c r="G16" s="194">
        <f>IFERROR(COUNTIF(Tabela18[#This Row],"sim"),"")*Começo!D18+SUM(Tabela18[#This Row])</f>
        <v>0</v>
      </c>
      <c r="H16" s="194"/>
      <c r="I16" s="194"/>
      <c r="J16" s="194"/>
      <c r="K16" s="158" t="s">
        <v>92</v>
      </c>
      <c r="L16" s="158" t="s">
        <v>92</v>
      </c>
      <c r="M16" s="158" t="s">
        <v>92</v>
      </c>
      <c r="N16" s="158" t="s">
        <v>92</v>
      </c>
      <c r="O16" s="158" t="s">
        <v>92</v>
      </c>
      <c r="P16" s="158" t="s">
        <v>92</v>
      </c>
      <c r="Q16" s="158" t="s">
        <v>92</v>
      </c>
      <c r="R16" s="158" t="s">
        <v>92</v>
      </c>
      <c r="S16" s="158" t="s">
        <v>92</v>
      </c>
      <c r="T16" s="158" t="s">
        <v>92</v>
      </c>
      <c r="U16" s="158" t="s">
        <v>92</v>
      </c>
      <c r="V16" s="158" t="s">
        <v>92</v>
      </c>
      <c r="W16" s="158" t="s">
        <v>92</v>
      </c>
      <c r="X16" s="158" t="s">
        <v>92</v>
      </c>
      <c r="Y16" s="158" t="s">
        <v>92</v>
      </c>
      <c r="Z16" s="158" t="s">
        <v>92</v>
      </c>
      <c r="AA16" s="158" t="s">
        <v>92</v>
      </c>
      <c r="AB16" s="158" t="s">
        <v>92</v>
      </c>
      <c r="AC16" s="158" t="s">
        <v>92</v>
      </c>
      <c r="AD16" s="158" t="s">
        <v>92</v>
      </c>
      <c r="AE16" s="158" t="s">
        <v>92</v>
      </c>
      <c r="AF16" s="158" t="s">
        <v>92</v>
      </c>
      <c r="AG16" s="158" t="s">
        <v>92</v>
      </c>
      <c r="AH16" s="158" t="s">
        <v>92</v>
      </c>
      <c r="AI16" s="158" t="s">
        <v>92</v>
      </c>
      <c r="AJ16" s="158" t="s">
        <v>92</v>
      </c>
      <c r="AK16" s="158" t="s">
        <v>92</v>
      </c>
      <c r="AL16" s="158" t="s">
        <v>92</v>
      </c>
      <c r="AM16" s="158" t="s">
        <v>92</v>
      </c>
      <c r="AN16" s="158" t="s">
        <v>92</v>
      </c>
      <c r="AO16" s="158" t="s">
        <v>92</v>
      </c>
    </row>
    <row r="17" spans="1:41" ht="26.1" customHeight="1" thickBot="1" x14ac:dyDescent="0.3">
      <c r="A17" s="1" t="s">
        <v>89</v>
      </c>
      <c r="B17" s="17">
        <v>6</v>
      </c>
      <c r="C17" s="199" t="str">
        <f>VLOOKUP(B17,Começo!A:D,3,0)</f>
        <v>Legislação</v>
      </c>
      <c r="D17" s="199"/>
      <c r="E17" s="199"/>
      <c r="F17" s="199"/>
      <c r="G17" s="194">
        <f>IFERROR(COUNTIF(Tabela18[#This Row],"sim"),"")*Começo!D19+SUM(Tabela18[#This Row])</f>
        <v>0</v>
      </c>
      <c r="H17" s="194"/>
      <c r="I17" s="194"/>
      <c r="J17" s="194"/>
      <c r="K17" s="158" t="s">
        <v>92</v>
      </c>
      <c r="L17" s="158" t="s">
        <v>92</v>
      </c>
      <c r="M17" s="158" t="s">
        <v>92</v>
      </c>
      <c r="N17" s="158" t="s">
        <v>92</v>
      </c>
      <c r="O17" s="158" t="s">
        <v>92</v>
      </c>
      <c r="P17" s="158" t="s">
        <v>92</v>
      </c>
      <c r="Q17" s="158" t="s">
        <v>92</v>
      </c>
      <c r="R17" s="158" t="s">
        <v>92</v>
      </c>
      <c r="S17" s="158" t="s">
        <v>92</v>
      </c>
      <c r="T17" s="158" t="s">
        <v>92</v>
      </c>
      <c r="U17" s="158" t="s">
        <v>92</v>
      </c>
      <c r="V17" s="158" t="s">
        <v>92</v>
      </c>
      <c r="W17" s="158" t="s">
        <v>92</v>
      </c>
      <c r="X17" s="158" t="s">
        <v>92</v>
      </c>
      <c r="Y17" s="158" t="s">
        <v>92</v>
      </c>
      <c r="Z17" s="158" t="s">
        <v>92</v>
      </c>
      <c r="AA17" s="158" t="s">
        <v>92</v>
      </c>
      <c r="AB17" s="158" t="s">
        <v>92</v>
      </c>
      <c r="AC17" s="158" t="s">
        <v>92</v>
      </c>
      <c r="AD17" s="158" t="s">
        <v>92</v>
      </c>
      <c r="AE17" s="158" t="s">
        <v>92</v>
      </c>
      <c r="AF17" s="158" t="s">
        <v>92</v>
      </c>
      <c r="AG17" s="158" t="s">
        <v>92</v>
      </c>
      <c r="AH17" s="158" t="s">
        <v>92</v>
      </c>
      <c r="AI17" s="158" t="s">
        <v>92</v>
      </c>
      <c r="AJ17" s="158" t="s">
        <v>92</v>
      </c>
      <c r="AK17" s="158" t="s">
        <v>92</v>
      </c>
      <c r="AL17" s="158" t="s">
        <v>92</v>
      </c>
      <c r="AM17" s="158" t="s">
        <v>92</v>
      </c>
      <c r="AN17" s="158" t="s">
        <v>92</v>
      </c>
      <c r="AO17" s="158" t="s">
        <v>92</v>
      </c>
    </row>
    <row r="18" spans="1:41" ht="26.1" customHeight="1" thickBot="1" x14ac:dyDescent="0.3">
      <c r="A18" s="1" t="s">
        <v>89</v>
      </c>
      <c r="B18" s="17">
        <v>7</v>
      </c>
      <c r="C18" s="199" t="str">
        <f>VLOOKUP(B18,Começo!A:D,3,0)</f>
        <v>Processo Penal</v>
      </c>
      <c r="D18" s="199"/>
      <c r="E18" s="199"/>
      <c r="F18" s="199"/>
      <c r="G18" s="194">
        <f>IFERROR(COUNTIF(Tabela18[#This Row],"sim"),"")*Começo!D20+SUM(Tabela18[#This Row])</f>
        <v>0</v>
      </c>
      <c r="H18" s="194"/>
      <c r="I18" s="194"/>
      <c r="J18" s="194"/>
      <c r="K18" s="158" t="s">
        <v>92</v>
      </c>
      <c r="L18" s="158" t="s">
        <v>92</v>
      </c>
      <c r="M18" s="158" t="s">
        <v>92</v>
      </c>
      <c r="N18" s="158" t="s">
        <v>92</v>
      </c>
      <c r="O18" s="158" t="s">
        <v>92</v>
      </c>
      <c r="P18" s="158" t="s">
        <v>92</v>
      </c>
      <c r="Q18" s="158" t="s">
        <v>92</v>
      </c>
      <c r="R18" s="158" t="s">
        <v>92</v>
      </c>
      <c r="S18" s="158" t="s">
        <v>92</v>
      </c>
      <c r="T18" s="158" t="s">
        <v>92</v>
      </c>
      <c r="U18" s="158" t="s">
        <v>92</v>
      </c>
      <c r="V18" s="158" t="s">
        <v>92</v>
      </c>
      <c r="W18" s="158" t="s">
        <v>92</v>
      </c>
      <c r="X18" s="158" t="s">
        <v>92</v>
      </c>
      <c r="Y18" s="158" t="s">
        <v>92</v>
      </c>
      <c r="Z18" s="158" t="s">
        <v>92</v>
      </c>
      <c r="AA18" s="158" t="s">
        <v>92</v>
      </c>
      <c r="AB18" s="158" t="s">
        <v>92</v>
      </c>
      <c r="AC18" s="158" t="s">
        <v>92</v>
      </c>
      <c r="AD18" s="158" t="s">
        <v>92</v>
      </c>
      <c r="AE18" s="158" t="s">
        <v>92</v>
      </c>
      <c r="AF18" s="158" t="s">
        <v>92</v>
      </c>
      <c r="AG18" s="158" t="s">
        <v>92</v>
      </c>
      <c r="AH18" s="158" t="s">
        <v>92</v>
      </c>
      <c r="AI18" s="158" t="s">
        <v>92</v>
      </c>
      <c r="AJ18" s="158" t="s">
        <v>92</v>
      </c>
      <c r="AK18" s="158" t="s">
        <v>92</v>
      </c>
      <c r="AL18" s="158" t="s">
        <v>92</v>
      </c>
      <c r="AM18" s="158" t="s">
        <v>92</v>
      </c>
      <c r="AN18" s="158" t="s">
        <v>92</v>
      </c>
      <c r="AO18" s="158" t="s">
        <v>92</v>
      </c>
    </row>
    <row r="19" spans="1:41" ht="26.1" customHeight="1" thickBot="1" x14ac:dyDescent="0.3">
      <c r="A19" s="1" t="s">
        <v>89</v>
      </c>
      <c r="B19" s="17">
        <v>8</v>
      </c>
      <c r="C19" s="199" t="str">
        <f>VLOOKUP(B19,Começo!A:D,3,0)</f>
        <v>Direito Administrativo</v>
      </c>
      <c r="D19" s="199"/>
      <c r="E19" s="199"/>
      <c r="F19" s="199"/>
      <c r="G19" s="194">
        <f>IFERROR(COUNTIF(Tabela18[#This Row],"sim"),"")*Começo!D21+SUM(Tabela18[#This Row])</f>
        <v>0</v>
      </c>
      <c r="H19" s="194"/>
      <c r="I19" s="194"/>
      <c r="J19" s="194"/>
      <c r="K19" s="158" t="s">
        <v>92</v>
      </c>
      <c r="L19" s="158" t="s">
        <v>92</v>
      </c>
      <c r="M19" s="158" t="s">
        <v>92</v>
      </c>
      <c r="N19" s="158" t="s">
        <v>92</v>
      </c>
      <c r="O19" s="158" t="s">
        <v>92</v>
      </c>
      <c r="P19" s="158" t="s">
        <v>92</v>
      </c>
      <c r="Q19" s="158" t="s">
        <v>92</v>
      </c>
      <c r="R19" s="158" t="s">
        <v>92</v>
      </c>
      <c r="S19" s="158" t="s">
        <v>92</v>
      </c>
      <c r="T19" s="158" t="s">
        <v>92</v>
      </c>
      <c r="U19" s="158" t="s">
        <v>92</v>
      </c>
      <c r="V19" s="158" t="s">
        <v>92</v>
      </c>
      <c r="W19" s="158" t="s">
        <v>92</v>
      </c>
      <c r="X19" s="158" t="s">
        <v>92</v>
      </c>
      <c r="Y19" s="158" t="s">
        <v>92</v>
      </c>
      <c r="Z19" s="158" t="s">
        <v>92</v>
      </c>
      <c r="AA19" s="158" t="s">
        <v>92</v>
      </c>
      <c r="AB19" s="158" t="s">
        <v>92</v>
      </c>
      <c r="AC19" s="158" t="s">
        <v>92</v>
      </c>
      <c r="AD19" s="158" t="s">
        <v>92</v>
      </c>
      <c r="AE19" s="158" t="s">
        <v>92</v>
      </c>
      <c r="AF19" s="158" t="s">
        <v>92</v>
      </c>
      <c r="AG19" s="158" t="s">
        <v>92</v>
      </c>
      <c r="AH19" s="158" t="s">
        <v>92</v>
      </c>
      <c r="AI19" s="158" t="s">
        <v>92</v>
      </c>
      <c r="AJ19" s="158" t="s">
        <v>92</v>
      </c>
      <c r="AK19" s="158" t="s">
        <v>92</v>
      </c>
      <c r="AL19" s="158" t="s">
        <v>92</v>
      </c>
      <c r="AM19" s="158" t="s">
        <v>92</v>
      </c>
      <c r="AN19" s="158" t="s">
        <v>92</v>
      </c>
      <c r="AO19" s="158" t="s">
        <v>92</v>
      </c>
    </row>
    <row r="20" spans="1:41" ht="26.1" customHeight="1" thickBot="1" x14ac:dyDescent="0.3">
      <c r="A20" s="1" t="s">
        <v>89</v>
      </c>
      <c r="B20" s="17">
        <v>9</v>
      </c>
      <c r="C20" s="199" t="str">
        <f>VLOOKUP(B20,Começo!A:D,3,0)</f>
        <v>Direito Tributário</v>
      </c>
      <c r="D20" s="199"/>
      <c r="E20" s="199"/>
      <c r="F20" s="199"/>
      <c r="G20" s="194">
        <f>IFERROR(COUNTIF(Tabela18[#This Row],"sim"),"")*Começo!D22+SUM(Tabela18[#This Row])</f>
        <v>0</v>
      </c>
      <c r="H20" s="194"/>
      <c r="I20" s="194"/>
      <c r="J20" s="194"/>
      <c r="K20" s="158" t="s">
        <v>92</v>
      </c>
      <c r="L20" s="158" t="s">
        <v>92</v>
      </c>
      <c r="M20" s="158" t="s">
        <v>92</v>
      </c>
      <c r="N20" s="158" t="s">
        <v>92</v>
      </c>
      <c r="O20" s="158" t="s">
        <v>92</v>
      </c>
      <c r="P20" s="158" t="s">
        <v>92</v>
      </c>
      <c r="Q20" s="158" t="s">
        <v>92</v>
      </c>
      <c r="R20" s="158" t="s">
        <v>92</v>
      </c>
      <c r="S20" s="158" t="s">
        <v>92</v>
      </c>
      <c r="T20" s="158" t="s">
        <v>92</v>
      </c>
      <c r="U20" s="158" t="s">
        <v>92</v>
      </c>
      <c r="V20" s="158" t="s">
        <v>92</v>
      </c>
      <c r="W20" s="158" t="s">
        <v>92</v>
      </c>
      <c r="X20" s="158" t="s">
        <v>92</v>
      </c>
      <c r="Y20" s="158" t="s">
        <v>92</v>
      </c>
      <c r="Z20" s="158" t="s">
        <v>92</v>
      </c>
      <c r="AA20" s="158" t="s">
        <v>92</v>
      </c>
      <c r="AB20" s="158" t="s">
        <v>92</v>
      </c>
      <c r="AC20" s="158" t="s">
        <v>92</v>
      </c>
      <c r="AD20" s="158" t="s">
        <v>92</v>
      </c>
      <c r="AE20" s="158" t="s">
        <v>92</v>
      </c>
      <c r="AF20" s="158" t="s">
        <v>92</v>
      </c>
      <c r="AG20" s="158" t="s">
        <v>92</v>
      </c>
      <c r="AH20" s="158" t="s">
        <v>92</v>
      </c>
      <c r="AI20" s="158" t="s">
        <v>92</v>
      </c>
      <c r="AJ20" s="158" t="s">
        <v>92</v>
      </c>
      <c r="AK20" s="158" t="s">
        <v>92</v>
      </c>
      <c r="AL20" s="158" t="s">
        <v>92</v>
      </c>
      <c r="AM20" s="158" t="s">
        <v>92</v>
      </c>
      <c r="AN20" s="158" t="s">
        <v>92</v>
      </c>
      <c r="AO20" s="158" t="s">
        <v>92</v>
      </c>
    </row>
    <row r="21" spans="1:41" ht="26.1" customHeight="1" thickBot="1" x14ac:dyDescent="0.3">
      <c r="A21" s="1" t="s">
        <v>89</v>
      </c>
      <c r="B21" s="17">
        <v>10</v>
      </c>
      <c r="C21" s="199" t="str">
        <f>VLOOKUP(B21,Começo!A:D,3,0)</f>
        <v>Inglês</v>
      </c>
      <c r="D21" s="199"/>
      <c r="E21" s="199"/>
      <c r="F21" s="199"/>
      <c r="G21" s="194">
        <f>IFERROR(COUNTIF(Tabela18[#This Row],"sim"),"")*Começo!D23+SUM(Tabela18[#This Row])</f>
        <v>0</v>
      </c>
      <c r="H21" s="194"/>
      <c r="I21" s="194"/>
      <c r="J21" s="194"/>
      <c r="K21" s="158" t="s">
        <v>92</v>
      </c>
      <c r="L21" s="158" t="s">
        <v>92</v>
      </c>
      <c r="M21" s="158" t="s">
        <v>92</v>
      </c>
      <c r="N21" s="158" t="s">
        <v>92</v>
      </c>
      <c r="O21" s="158" t="s">
        <v>92</v>
      </c>
      <c r="P21" s="158" t="s">
        <v>92</v>
      </c>
      <c r="Q21" s="158" t="s">
        <v>92</v>
      </c>
      <c r="R21" s="158" t="s">
        <v>92</v>
      </c>
      <c r="S21" s="158" t="s">
        <v>92</v>
      </c>
      <c r="T21" s="158" t="s">
        <v>92</v>
      </c>
      <c r="U21" s="158" t="s">
        <v>92</v>
      </c>
      <c r="V21" s="158" t="s">
        <v>92</v>
      </c>
      <c r="W21" s="158" t="s">
        <v>92</v>
      </c>
      <c r="X21" s="158" t="s">
        <v>92</v>
      </c>
      <c r="Y21" s="158" t="s">
        <v>92</v>
      </c>
      <c r="Z21" s="158" t="s">
        <v>92</v>
      </c>
      <c r="AA21" s="158" t="s">
        <v>92</v>
      </c>
      <c r="AB21" s="158" t="s">
        <v>92</v>
      </c>
      <c r="AC21" s="158" t="s">
        <v>92</v>
      </c>
      <c r="AD21" s="158" t="s">
        <v>92</v>
      </c>
      <c r="AE21" s="158" t="s">
        <v>92</v>
      </c>
      <c r="AF21" s="158" t="s">
        <v>92</v>
      </c>
      <c r="AG21" s="158" t="s">
        <v>92</v>
      </c>
      <c r="AH21" s="158" t="s">
        <v>92</v>
      </c>
      <c r="AI21" s="158" t="s">
        <v>92</v>
      </c>
      <c r="AJ21" s="158" t="s">
        <v>92</v>
      </c>
      <c r="AK21" s="158" t="s">
        <v>92</v>
      </c>
      <c r="AL21" s="158" t="s">
        <v>92</v>
      </c>
      <c r="AM21" s="158" t="s">
        <v>92</v>
      </c>
      <c r="AN21" s="158" t="s">
        <v>92</v>
      </c>
      <c r="AO21" s="158" t="s">
        <v>92</v>
      </c>
    </row>
    <row r="22" spans="1:41" ht="26.1" customHeight="1" thickBot="1" x14ac:dyDescent="0.3">
      <c r="A22" s="1" t="s">
        <v>89</v>
      </c>
      <c r="B22" s="17">
        <v>11</v>
      </c>
      <c r="C22" s="199" t="str">
        <f>VLOOKUP(B22,Começo!A:D,3,0)</f>
        <v>Análise de Sistemas</v>
      </c>
      <c r="D22" s="199"/>
      <c r="E22" s="199"/>
      <c r="F22" s="199"/>
      <c r="G22" s="194">
        <f>IFERROR(COUNTIF(Tabela18[#This Row],"sim"),"")*Começo!D24+SUM(Tabela18[#This Row])</f>
        <v>0</v>
      </c>
      <c r="H22" s="194"/>
      <c r="I22" s="194"/>
      <c r="J22" s="194"/>
      <c r="K22" s="158" t="s">
        <v>92</v>
      </c>
      <c r="L22" s="158" t="s">
        <v>92</v>
      </c>
      <c r="M22" s="158" t="s">
        <v>92</v>
      </c>
      <c r="N22" s="158" t="s">
        <v>92</v>
      </c>
      <c r="O22" s="158" t="s">
        <v>92</v>
      </c>
      <c r="P22" s="158" t="s">
        <v>92</v>
      </c>
      <c r="Q22" s="158" t="s">
        <v>92</v>
      </c>
      <c r="R22" s="158" t="s">
        <v>92</v>
      </c>
      <c r="S22" s="158" t="s">
        <v>92</v>
      </c>
      <c r="T22" s="158" t="s">
        <v>92</v>
      </c>
      <c r="U22" s="158" t="s">
        <v>92</v>
      </c>
      <c r="V22" s="158" t="s">
        <v>92</v>
      </c>
      <c r="W22" s="158" t="s">
        <v>92</v>
      </c>
      <c r="X22" s="158" t="s">
        <v>92</v>
      </c>
      <c r="Y22" s="158" t="s">
        <v>92</v>
      </c>
      <c r="Z22" s="158" t="s">
        <v>92</v>
      </c>
      <c r="AA22" s="158" t="s">
        <v>92</v>
      </c>
      <c r="AB22" s="158" t="s">
        <v>92</v>
      </c>
      <c r="AC22" s="158" t="s">
        <v>92</v>
      </c>
      <c r="AD22" s="158" t="s">
        <v>92</v>
      </c>
      <c r="AE22" s="158" t="s">
        <v>92</v>
      </c>
      <c r="AF22" s="158" t="s">
        <v>92</v>
      </c>
      <c r="AG22" s="158" t="s">
        <v>92</v>
      </c>
      <c r="AH22" s="158" t="s">
        <v>92</v>
      </c>
      <c r="AI22" s="158" t="s">
        <v>92</v>
      </c>
      <c r="AJ22" s="158" t="s">
        <v>92</v>
      </c>
      <c r="AK22" s="158" t="s">
        <v>92</v>
      </c>
      <c r="AL22" s="158" t="s">
        <v>92</v>
      </c>
      <c r="AM22" s="158" t="s">
        <v>92</v>
      </c>
      <c r="AN22" s="158" t="s">
        <v>92</v>
      </c>
      <c r="AO22" s="158" t="s">
        <v>92</v>
      </c>
    </row>
    <row r="23" spans="1:41" ht="26.1" customHeight="1" thickBot="1" x14ac:dyDescent="0.3">
      <c r="A23" s="1" t="s">
        <v>89</v>
      </c>
      <c r="B23" s="17">
        <v>12</v>
      </c>
      <c r="C23" s="199" t="str">
        <f>VLOOKUP(B23,Começo!A:D,3,0)</f>
        <v>Direito Legislativo</v>
      </c>
      <c r="D23" s="199"/>
      <c r="E23" s="199"/>
      <c r="F23" s="199"/>
      <c r="G23" s="194">
        <f>IFERROR(COUNTIF(Tabela18[#This Row],"sim"),"")*Começo!D25+SUM(Tabela18[#This Row])</f>
        <v>0</v>
      </c>
      <c r="H23" s="194"/>
      <c r="I23" s="194"/>
      <c r="J23" s="194"/>
      <c r="K23" s="158" t="s">
        <v>92</v>
      </c>
      <c r="L23" s="158" t="s">
        <v>92</v>
      </c>
      <c r="M23" s="158" t="s">
        <v>92</v>
      </c>
      <c r="N23" s="158" t="s">
        <v>92</v>
      </c>
      <c r="O23" s="158" t="s">
        <v>92</v>
      </c>
      <c r="P23" s="158" t="s">
        <v>92</v>
      </c>
      <c r="Q23" s="158" t="s">
        <v>92</v>
      </c>
      <c r="R23" s="158" t="s">
        <v>92</v>
      </c>
      <c r="S23" s="158" t="s">
        <v>92</v>
      </c>
      <c r="T23" s="158" t="s">
        <v>92</v>
      </c>
      <c r="U23" s="158" t="s">
        <v>92</v>
      </c>
      <c r="V23" s="158" t="s">
        <v>92</v>
      </c>
      <c r="W23" s="158" t="s">
        <v>92</v>
      </c>
      <c r="X23" s="158" t="s">
        <v>92</v>
      </c>
      <c r="Y23" s="158" t="s">
        <v>92</v>
      </c>
      <c r="Z23" s="158" t="s">
        <v>92</v>
      </c>
      <c r="AA23" s="158" t="s">
        <v>92</v>
      </c>
      <c r="AB23" s="158" t="s">
        <v>92</v>
      </c>
      <c r="AC23" s="158" t="s">
        <v>92</v>
      </c>
      <c r="AD23" s="158" t="s">
        <v>92</v>
      </c>
      <c r="AE23" s="158" t="s">
        <v>92</v>
      </c>
      <c r="AF23" s="158" t="s">
        <v>92</v>
      </c>
      <c r="AG23" s="158" t="s">
        <v>92</v>
      </c>
      <c r="AH23" s="158" t="s">
        <v>92</v>
      </c>
      <c r="AI23" s="158" t="s">
        <v>92</v>
      </c>
      <c r="AJ23" s="158" t="s">
        <v>92</v>
      </c>
      <c r="AK23" s="158" t="s">
        <v>92</v>
      </c>
      <c r="AL23" s="158" t="s">
        <v>92</v>
      </c>
      <c r="AM23" s="158" t="s">
        <v>92</v>
      </c>
      <c r="AN23" s="158" t="s">
        <v>92</v>
      </c>
      <c r="AO23" s="158" t="s">
        <v>92</v>
      </c>
    </row>
    <row r="24" spans="1:41" ht="26.1" customHeight="1" thickBot="1" x14ac:dyDescent="0.3">
      <c r="A24" s="1" t="s">
        <v>89</v>
      </c>
      <c r="B24" s="17">
        <v>13</v>
      </c>
      <c r="C24" s="199" t="str">
        <f>VLOOKUP(B24,Começo!A:D,3,0)</f>
        <v>Mecânica dos Fluídos</v>
      </c>
      <c r="D24" s="199"/>
      <c r="E24" s="199"/>
      <c r="F24" s="199"/>
      <c r="G24" s="194">
        <f>IFERROR(COUNTIF(Tabela18[#This Row],"sim"),"")*Começo!D26+SUM(Tabela18[#This Row])</f>
        <v>0</v>
      </c>
      <c r="H24" s="194"/>
      <c r="I24" s="194"/>
      <c r="J24" s="194"/>
      <c r="K24" s="158" t="s">
        <v>92</v>
      </c>
      <c r="L24" s="158" t="s">
        <v>92</v>
      </c>
      <c r="M24" s="158" t="s">
        <v>92</v>
      </c>
      <c r="N24" s="158" t="s">
        <v>92</v>
      </c>
      <c r="O24" s="158" t="s">
        <v>92</v>
      </c>
      <c r="P24" s="158" t="s">
        <v>92</v>
      </c>
      <c r="Q24" s="158" t="s">
        <v>92</v>
      </c>
      <c r="R24" s="158" t="s">
        <v>92</v>
      </c>
      <c r="S24" s="158" t="s">
        <v>92</v>
      </c>
      <c r="T24" s="158" t="s">
        <v>92</v>
      </c>
      <c r="U24" s="158" t="s">
        <v>92</v>
      </c>
      <c r="V24" s="158" t="s">
        <v>92</v>
      </c>
      <c r="W24" s="158" t="s">
        <v>92</v>
      </c>
      <c r="X24" s="158" t="s">
        <v>92</v>
      </c>
      <c r="Y24" s="158" t="s">
        <v>92</v>
      </c>
      <c r="Z24" s="158" t="s">
        <v>92</v>
      </c>
      <c r="AA24" s="158" t="s">
        <v>92</v>
      </c>
      <c r="AB24" s="158" t="s">
        <v>92</v>
      </c>
      <c r="AC24" s="158" t="s">
        <v>92</v>
      </c>
      <c r="AD24" s="158" t="s">
        <v>92</v>
      </c>
      <c r="AE24" s="158" t="s">
        <v>92</v>
      </c>
      <c r="AF24" s="158" t="s">
        <v>92</v>
      </c>
      <c r="AG24" s="158" t="s">
        <v>92</v>
      </c>
      <c r="AH24" s="158" t="s">
        <v>92</v>
      </c>
      <c r="AI24" s="158" t="s">
        <v>92</v>
      </c>
      <c r="AJ24" s="158" t="s">
        <v>92</v>
      </c>
      <c r="AK24" s="158" t="s">
        <v>92</v>
      </c>
      <c r="AL24" s="158" t="s">
        <v>92</v>
      </c>
      <c r="AM24" s="158" t="s">
        <v>92</v>
      </c>
      <c r="AN24" s="158" t="s">
        <v>92</v>
      </c>
      <c r="AO24" s="158" t="s">
        <v>92</v>
      </c>
    </row>
    <row r="25" spans="1:41" ht="26.1" customHeight="1" thickBot="1" x14ac:dyDescent="0.3">
      <c r="A25" s="1" t="s">
        <v>89</v>
      </c>
      <c r="B25" s="17">
        <v>14</v>
      </c>
      <c r="C25" s="199" t="str">
        <f>VLOOKUP(B25,Começo!A:D,3,0)</f>
        <v>IoT</v>
      </c>
      <c r="D25" s="199"/>
      <c r="E25" s="199"/>
      <c r="F25" s="199"/>
      <c r="G25" s="194">
        <f>IFERROR(COUNTIF(Tabela18[#This Row],"sim"),"")*Começo!D27+SUM(Tabela18[#This Row])</f>
        <v>0</v>
      </c>
      <c r="H25" s="194"/>
      <c r="I25" s="194"/>
      <c r="J25" s="194"/>
      <c r="K25" s="158" t="s">
        <v>92</v>
      </c>
      <c r="L25" s="158" t="s">
        <v>92</v>
      </c>
      <c r="M25" s="158" t="s">
        <v>92</v>
      </c>
      <c r="N25" s="158" t="s">
        <v>92</v>
      </c>
      <c r="O25" s="158" t="s">
        <v>92</v>
      </c>
      <c r="P25" s="158" t="s">
        <v>92</v>
      </c>
      <c r="Q25" s="158" t="s">
        <v>92</v>
      </c>
      <c r="R25" s="158" t="s">
        <v>92</v>
      </c>
      <c r="S25" s="158" t="s">
        <v>92</v>
      </c>
      <c r="T25" s="158" t="s">
        <v>92</v>
      </c>
      <c r="U25" s="158" t="s">
        <v>92</v>
      </c>
      <c r="V25" s="158" t="s">
        <v>92</v>
      </c>
      <c r="W25" s="158" t="s">
        <v>92</v>
      </c>
      <c r="X25" s="158" t="s">
        <v>92</v>
      </c>
      <c r="Y25" s="158" t="s">
        <v>92</v>
      </c>
      <c r="Z25" s="158" t="s">
        <v>92</v>
      </c>
      <c r="AA25" s="158" t="s">
        <v>92</v>
      </c>
      <c r="AB25" s="158" t="s">
        <v>92</v>
      </c>
      <c r="AC25" s="158" t="s">
        <v>92</v>
      </c>
      <c r="AD25" s="158" t="s">
        <v>92</v>
      </c>
      <c r="AE25" s="158" t="s">
        <v>92</v>
      </c>
      <c r="AF25" s="158" t="s">
        <v>92</v>
      </c>
      <c r="AG25" s="158" t="s">
        <v>92</v>
      </c>
      <c r="AH25" s="158" t="s">
        <v>92</v>
      </c>
      <c r="AI25" s="158" t="s">
        <v>92</v>
      </c>
      <c r="AJ25" s="158" t="s">
        <v>92</v>
      </c>
      <c r="AK25" s="158" t="s">
        <v>92</v>
      </c>
      <c r="AL25" s="158" t="s">
        <v>92</v>
      </c>
      <c r="AM25" s="158" t="s">
        <v>92</v>
      </c>
      <c r="AN25" s="158" t="s">
        <v>92</v>
      </c>
      <c r="AO25" s="158" t="s">
        <v>92</v>
      </c>
    </row>
    <row r="26" spans="1:41" ht="26.1" customHeight="1" thickBot="1" x14ac:dyDescent="0.3">
      <c r="A26" s="1" t="s">
        <v>89</v>
      </c>
      <c r="B26" s="17">
        <v>15</v>
      </c>
      <c r="C26" s="199" t="str">
        <f>VLOOKUP(B26,Começo!A:D,3,0)</f>
        <v>Astrologia</v>
      </c>
      <c r="D26" s="199"/>
      <c r="E26" s="199"/>
      <c r="F26" s="199"/>
      <c r="G26" s="194">
        <f>IFERROR(COUNTIF(Tabela18[#This Row],"sim"),"")*Começo!D28+SUM(Tabela18[#This Row])</f>
        <v>0</v>
      </c>
      <c r="H26" s="194"/>
      <c r="I26" s="194"/>
      <c r="J26" s="194"/>
      <c r="K26" s="158" t="s">
        <v>92</v>
      </c>
      <c r="L26" s="158" t="s">
        <v>92</v>
      </c>
      <c r="M26" s="158" t="s">
        <v>92</v>
      </c>
      <c r="N26" s="158" t="s">
        <v>92</v>
      </c>
      <c r="O26" s="158" t="s">
        <v>92</v>
      </c>
      <c r="P26" s="158" t="s">
        <v>92</v>
      </c>
      <c r="Q26" s="158" t="s">
        <v>92</v>
      </c>
      <c r="R26" s="158" t="s">
        <v>92</v>
      </c>
      <c r="S26" s="158" t="s">
        <v>92</v>
      </c>
      <c r="T26" s="158" t="s">
        <v>92</v>
      </c>
      <c r="U26" s="158" t="s">
        <v>92</v>
      </c>
      <c r="V26" s="158" t="s">
        <v>92</v>
      </c>
      <c r="W26" s="158" t="s">
        <v>92</v>
      </c>
      <c r="X26" s="158" t="s">
        <v>92</v>
      </c>
      <c r="Y26" s="158" t="s">
        <v>92</v>
      </c>
      <c r="Z26" s="158" t="s">
        <v>92</v>
      </c>
      <c r="AA26" s="158" t="s">
        <v>92</v>
      </c>
      <c r="AB26" s="158" t="s">
        <v>92</v>
      </c>
      <c r="AC26" s="158" t="s">
        <v>92</v>
      </c>
      <c r="AD26" s="158" t="s">
        <v>92</v>
      </c>
      <c r="AE26" s="158" t="s">
        <v>92</v>
      </c>
      <c r="AF26" s="158" t="s">
        <v>92</v>
      </c>
      <c r="AG26" s="158" t="s">
        <v>92</v>
      </c>
      <c r="AH26" s="158" t="s">
        <v>92</v>
      </c>
      <c r="AI26" s="158" t="s">
        <v>92</v>
      </c>
      <c r="AJ26" s="158" t="s">
        <v>92</v>
      </c>
      <c r="AK26" s="158" t="s">
        <v>92</v>
      </c>
      <c r="AL26" s="158" t="s">
        <v>92</v>
      </c>
      <c r="AM26" s="158" t="s">
        <v>92</v>
      </c>
      <c r="AN26" s="158" t="s">
        <v>92</v>
      </c>
      <c r="AO26" s="158" t="s">
        <v>92</v>
      </c>
    </row>
    <row r="27" spans="1:41" ht="26.1" customHeight="1" thickBot="1" x14ac:dyDescent="0.3">
      <c r="A27" s="1" t="s">
        <v>89</v>
      </c>
      <c r="B27" s="17">
        <v>16</v>
      </c>
      <c r="C27" s="199" t="str">
        <f>VLOOKUP(B27,Começo!A:D,3,0)</f>
        <v>Colorimetria</v>
      </c>
      <c r="D27" s="199"/>
      <c r="E27" s="199"/>
      <c r="F27" s="199"/>
      <c r="G27" s="194">
        <f>IFERROR(COUNTIF(Tabela18[#This Row],"sim"),"")*Começo!D29+SUM(Tabela18[#This Row])</f>
        <v>0</v>
      </c>
      <c r="H27" s="194"/>
      <c r="I27" s="194"/>
      <c r="J27" s="194"/>
      <c r="K27" s="158" t="s">
        <v>92</v>
      </c>
      <c r="L27" s="158" t="s">
        <v>92</v>
      </c>
      <c r="M27" s="158" t="s">
        <v>92</v>
      </c>
      <c r="N27" s="158" t="s">
        <v>92</v>
      </c>
      <c r="O27" s="158" t="s">
        <v>92</v>
      </c>
      <c r="P27" s="158" t="s">
        <v>92</v>
      </c>
      <c r="Q27" s="158" t="s">
        <v>92</v>
      </c>
      <c r="R27" s="158" t="s">
        <v>92</v>
      </c>
      <c r="S27" s="158" t="s">
        <v>92</v>
      </c>
      <c r="T27" s="158" t="s">
        <v>92</v>
      </c>
      <c r="U27" s="158" t="s">
        <v>92</v>
      </c>
      <c r="V27" s="158" t="s">
        <v>92</v>
      </c>
      <c r="W27" s="158" t="s">
        <v>92</v>
      </c>
      <c r="X27" s="158" t="s">
        <v>92</v>
      </c>
      <c r="Y27" s="158" t="s">
        <v>92</v>
      </c>
      <c r="Z27" s="158" t="s">
        <v>92</v>
      </c>
      <c r="AA27" s="158" t="s">
        <v>92</v>
      </c>
      <c r="AB27" s="158" t="s">
        <v>92</v>
      </c>
      <c r="AC27" s="158" t="s">
        <v>92</v>
      </c>
      <c r="AD27" s="158" t="s">
        <v>92</v>
      </c>
      <c r="AE27" s="158" t="s">
        <v>92</v>
      </c>
      <c r="AF27" s="158" t="s">
        <v>92</v>
      </c>
      <c r="AG27" s="158" t="s">
        <v>92</v>
      </c>
      <c r="AH27" s="158" t="s">
        <v>92</v>
      </c>
      <c r="AI27" s="158" t="s">
        <v>92</v>
      </c>
      <c r="AJ27" s="158" t="s">
        <v>92</v>
      </c>
      <c r="AK27" s="158" t="s">
        <v>92</v>
      </c>
      <c r="AL27" s="158" t="s">
        <v>92</v>
      </c>
      <c r="AM27" s="158" t="s">
        <v>92</v>
      </c>
      <c r="AN27" s="158" t="s">
        <v>92</v>
      </c>
      <c r="AO27" s="158" t="s">
        <v>92</v>
      </c>
    </row>
    <row r="28" spans="1:41" ht="16.5" x14ac:dyDescent="0.25">
      <c r="K28" s="159">
        <f>SUBTOTAL(109,Tabela18[1-jul])</f>
        <v>0</v>
      </c>
      <c r="L28" s="159">
        <f>SUBTOTAL(109,Tabela18[2-jul])</f>
        <v>0</v>
      </c>
      <c r="M28" s="159">
        <f>SUBTOTAL(109,Tabela18[3-jul])</f>
        <v>0</v>
      </c>
      <c r="N28" s="159">
        <f>SUBTOTAL(109,Tabela18[4-jul])</f>
        <v>0</v>
      </c>
      <c r="O28" s="159">
        <f>SUBTOTAL(109,Tabela18[5-jul])</f>
        <v>0</v>
      </c>
      <c r="P28" s="159">
        <f>SUBTOTAL(109,Tabela18[6-jul])</f>
        <v>0</v>
      </c>
      <c r="Q28" s="159">
        <f>SUBTOTAL(109,Tabela18[7-jul])</f>
        <v>0</v>
      </c>
      <c r="R28" s="159">
        <f>SUBTOTAL(109,Tabela18[8-jul])</f>
        <v>0</v>
      </c>
      <c r="S28" s="159">
        <f>SUBTOTAL(109,Tabela18[9-jul])</f>
        <v>0</v>
      </c>
      <c r="T28" s="159">
        <f>SUBTOTAL(109,Tabela18[10-jul])</f>
        <v>0</v>
      </c>
      <c r="U28" s="159">
        <f>SUBTOTAL(109,Tabela18[11-jul])</f>
        <v>0</v>
      </c>
      <c r="V28" s="159">
        <f>SUBTOTAL(109,Tabela18[12-jul])</f>
        <v>0</v>
      </c>
      <c r="W28" s="159">
        <f>SUBTOTAL(109,Tabela18[13-jul])</f>
        <v>0</v>
      </c>
      <c r="X28" s="159">
        <f>SUBTOTAL(109,Tabela18[14-jul])</f>
        <v>0</v>
      </c>
      <c r="Y28" s="159">
        <f>SUBTOTAL(109,Tabela18[15-jul])</f>
        <v>0</v>
      </c>
      <c r="Z28" s="159">
        <f>SUBTOTAL(109,Tabela18[16-jul])</f>
        <v>0</v>
      </c>
      <c r="AA28" s="159">
        <f>SUBTOTAL(109,Tabela18[17-jul])</f>
        <v>0</v>
      </c>
      <c r="AB28" s="159">
        <f>SUBTOTAL(109,Tabela18[18-jul])</f>
        <v>0</v>
      </c>
      <c r="AC28" s="159">
        <f>SUBTOTAL(109,Tabela18[19-jul])</f>
        <v>0</v>
      </c>
      <c r="AD28" s="159">
        <f>SUBTOTAL(109,Tabela18[20-jul])</f>
        <v>0</v>
      </c>
      <c r="AE28" s="159">
        <f>SUBTOTAL(109,Tabela18[21-jul])</f>
        <v>0</v>
      </c>
      <c r="AF28" s="159">
        <f>SUBTOTAL(109,Tabela18[22-jul])</f>
        <v>0</v>
      </c>
      <c r="AG28" s="159">
        <f>SUBTOTAL(109,Tabela18[23-jul])</f>
        <v>0</v>
      </c>
      <c r="AH28" s="159">
        <f>SUBTOTAL(109,Tabela18[24-jul])</f>
        <v>0</v>
      </c>
      <c r="AI28" s="159">
        <f>SUBTOTAL(109,Tabela18[25-jul])</f>
        <v>0</v>
      </c>
      <c r="AJ28" s="159">
        <f>SUBTOTAL(109,Tabela18[26-jul])</f>
        <v>0</v>
      </c>
      <c r="AK28" s="159">
        <f>SUBTOTAL(109,Tabela18[27-jul])</f>
        <v>0</v>
      </c>
      <c r="AL28" s="159">
        <f>SUBTOTAL(109,Tabela18[28-jul])</f>
        <v>0</v>
      </c>
      <c r="AM28" s="159">
        <f>SUBTOTAL(109,Tabela18[29-jul])</f>
        <v>0</v>
      </c>
      <c r="AN28" s="159">
        <f>SUBTOTAL(109,Tabela18[30-jul])</f>
        <v>0</v>
      </c>
      <c r="AO28" s="159">
        <f>SUBTOTAL(109,Tabela18[31-jul])</f>
        <v>0</v>
      </c>
    </row>
    <row r="30" spans="1:41" x14ac:dyDescent="0.25">
      <c r="B30" s="188"/>
      <c r="C30" s="188"/>
    </row>
    <row r="31" spans="1:41" x14ac:dyDescent="0.25">
      <c r="B31" s="188"/>
      <c r="C31" s="188"/>
    </row>
  </sheetData>
  <sheetProtection algorithmName="SHA-512" hashValue="QWQt3zLvyEKONzTySV70Ptqbl7sGwPIt/HzODG4LMGR3hQXUdfGfvoDce43+hwyy69MROrJB4QTQsfL+9l8yZg==" saltValue="WFlJwgioNR9ljI0Wa1z7hQ==" spinCount="100000" sheet="1" objects="1" scenarios="1"/>
  <mergeCells count="49">
    <mergeCell ref="C26:F26"/>
    <mergeCell ref="G26:J26"/>
    <mergeCell ref="C27:F27"/>
    <mergeCell ref="G27:J27"/>
    <mergeCell ref="C23:F23"/>
    <mergeCell ref="G23:J23"/>
    <mergeCell ref="C24:F24"/>
    <mergeCell ref="G24:J24"/>
    <mergeCell ref="C25:F25"/>
    <mergeCell ref="G25:J25"/>
    <mergeCell ref="C20:F20"/>
    <mergeCell ref="G20:J20"/>
    <mergeCell ref="C21:F21"/>
    <mergeCell ref="G21:J21"/>
    <mergeCell ref="C22:F22"/>
    <mergeCell ref="G22:J22"/>
    <mergeCell ref="C17:F17"/>
    <mergeCell ref="G17:J17"/>
    <mergeCell ref="C18:F18"/>
    <mergeCell ref="G18:J18"/>
    <mergeCell ref="C19:F19"/>
    <mergeCell ref="G19:J19"/>
    <mergeCell ref="C14:F14"/>
    <mergeCell ref="G14:J14"/>
    <mergeCell ref="C15:F15"/>
    <mergeCell ref="G15:J15"/>
    <mergeCell ref="C16:F16"/>
    <mergeCell ref="G16:J16"/>
    <mergeCell ref="H8:H9"/>
    <mergeCell ref="I8:I9"/>
    <mergeCell ref="J8:J9"/>
    <mergeCell ref="C13:F13"/>
    <mergeCell ref="G13:J13"/>
    <mergeCell ref="B30:C31"/>
    <mergeCell ref="L8:L9"/>
    <mergeCell ref="M8:M9"/>
    <mergeCell ref="O7:Q7"/>
    <mergeCell ref="O8:Q9"/>
    <mergeCell ref="B11:F11"/>
    <mergeCell ref="G11:J11"/>
    <mergeCell ref="K8:K9"/>
    <mergeCell ref="C12:F12"/>
    <mergeCell ref="G12:J12"/>
    <mergeCell ref="B8:B9"/>
    <mergeCell ref="C8:C9"/>
    <mergeCell ref="D8:D9"/>
    <mergeCell ref="E8:E9"/>
    <mergeCell ref="F8:F9"/>
    <mergeCell ref="G8:G9"/>
  </mergeCells>
  <conditionalFormatting sqref="K12:AO27">
    <cfRule type="containsText" dxfId="73" priority="3" operator="containsText" text="não">
      <formula>NOT(ISERROR(SEARCH("não",K12)))</formula>
    </cfRule>
    <cfRule type="containsText" dxfId="72" priority="4" operator="containsText" text="sim">
      <formula>NOT(ISERROR(SEARCH("sim",K12)))</formula>
    </cfRule>
  </conditionalFormatting>
  <conditionalFormatting sqref="G12:J2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{C3A1232C-114B-4FA7-A3FF-24C20DF6C131}</x14:id>
        </ext>
      </extLst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{8C86C098-E575-4304-B578-01DA3E119B7A}</x14:id>
        </ext>
      </extLst>
    </cfRule>
  </conditionalFormatting>
  <dataValidations count="1">
    <dataValidation type="list" allowBlank="1" showInputMessage="1" showErrorMessage="1" sqref="K12:AO27" xr:uid="{00000000-0002-0000-1A00-000000000000}">
      <formula1>"Sim,Não,00:30,01:00,01:30,02:00,02:30,03:00,03:30,04:00"</formula1>
    </dataValidation>
  </dataValidations>
  <hyperlinks>
    <hyperlink ref="B8" location="Desempenho!A1" display="janeiro" xr:uid="{00000000-0004-0000-1A00-000000000000}"/>
    <hyperlink ref="C8" location="fev!A1" display="Fevereiro" xr:uid="{00000000-0004-0000-1A00-000001000000}"/>
    <hyperlink ref="D8" location="mar!A1" display="Março" xr:uid="{00000000-0004-0000-1A00-000002000000}"/>
    <hyperlink ref="E8" location="abr!A1" display="Abril" xr:uid="{00000000-0004-0000-1A00-000003000000}"/>
    <hyperlink ref="F8" location="maio!A1" display="Maio" xr:uid="{00000000-0004-0000-1A00-000004000000}"/>
    <hyperlink ref="G8" location="jun!A1" display="Junho" xr:uid="{00000000-0004-0000-1A00-000005000000}"/>
    <hyperlink ref="H8" location="jul!A1" display="Julho" xr:uid="{00000000-0004-0000-1A00-000006000000}"/>
    <hyperlink ref="I8" location="ago!A1" display="Agosto" xr:uid="{00000000-0004-0000-1A00-000007000000}"/>
    <hyperlink ref="J8" location="set!A1" display="Setembro" xr:uid="{00000000-0004-0000-1A00-000008000000}"/>
    <hyperlink ref="K8" location="out!A1" display="Outubro" xr:uid="{00000000-0004-0000-1A00-000009000000}"/>
    <hyperlink ref="L8" location="nov!A1" display="Novembro" xr:uid="{00000000-0004-0000-1A00-00000A000000}"/>
    <hyperlink ref="M8" location="dez!A1" display="Dezembro" xr:uid="{00000000-0004-0000-1A00-00000B000000}"/>
  </hyperlink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1232C-114B-4FA7-A3FF-24C20DF6C131}">
            <x14:dataBar minLength="0" maxLength="100" gradient="0">
              <x14:cfvo type="autoMin"/>
              <x14:cfvo type="autoMax"/>
              <x14:negativeFillColor rgb="FFFF0000"/>
              <x14:axisColor theme="0"/>
            </x14:dataBar>
          </x14:cfRule>
          <x14:cfRule type="dataBar" id="{8C86C098-E575-4304-B578-01DA3E119B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G12:J27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28"/>
  <dimension ref="A1:AO31"/>
  <sheetViews>
    <sheetView showGridLines="0" workbookViewId="0">
      <pane ySplit="4" topLeftCell="A5" activePane="bottomLeft" state="frozen"/>
      <selection activeCell="A5" sqref="A5"/>
      <selection pane="bottomLeft" activeCell="J8" sqref="J8:J9"/>
    </sheetView>
  </sheetViews>
  <sheetFormatPr defaultRowHeight="15" x14ac:dyDescent="0.25"/>
  <cols>
    <col min="1" max="1" width="3.85546875" style="27" customWidth="1"/>
    <col min="2" max="2" width="8.140625" style="27" bestFit="1" customWidth="1"/>
    <col min="3" max="3" width="10.5703125" style="27" bestFit="1" customWidth="1"/>
    <col min="4" max="4" width="7.5703125" style="27" bestFit="1" customWidth="1"/>
    <col min="5" max="5" width="6.140625" style="27" bestFit="1" customWidth="1"/>
    <col min="6" max="6" width="6.28515625" style="27" bestFit="1" customWidth="1"/>
    <col min="7" max="7" width="7.42578125" style="27" bestFit="1" customWidth="1"/>
    <col min="8" max="8" width="6.7109375" style="27" bestFit="1" customWidth="1"/>
    <col min="9" max="9" width="8.5703125" style="27" bestFit="1" customWidth="1"/>
    <col min="10" max="10" width="11" style="27" bestFit="1" customWidth="1"/>
    <col min="11" max="11" width="9.7109375" style="27" bestFit="1" customWidth="1"/>
    <col min="12" max="12" width="12" style="27" bestFit="1" customWidth="1"/>
    <col min="13" max="13" width="11.5703125" style="27" bestFit="1" customWidth="1"/>
    <col min="14" max="16384" width="9.140625" style="27"/>
  </cols>
  <sheetData>
    <row r="1" spans="1:41" s="38" customFormat="1" x14ac:dyDescent="0.25"/>
    <row r="2" spans="1:41" s="38" customFormat="1" x14ac:dyDescent="0.25"/>
    <row r="3" spans="1:41" s="38" customFormat="1" x14ac:dyDescent="0.25"/>
    <row r="4" spans="1:41" s="38" customFormat="1" x14ac:dyDescent="0.25"/>
    <row r="5" spans="1:41" s="63" customFormat="1" ht="3.95" customHeight="1" x14ac:dyDescent="0.25"/>
    <row r="6" spans="1:41" ht="15" customHeight="1" x14ac:dyDescent="0.25"/>
    <row r="7" spans="1:41" ht="15" customHeight="1" thickBot="1" x14ac:dyDescent="0.3">
      <c r="O7" s="246" t="s">
        <v>36</v>
      </c>
      <c r="P7" s="246"/>
      <c r="Q7" s="246"/>
    </row>
    <row r="8" spans="1:41" ht="15" customHeight="1" x14ac:dyDescent="0.25">
      <c r="A8" s="31"/>
      <c r="B8" s="250" t="s">
        <v>133</v>
      </c>
      <c r="C8" s="248" t="s">
        <v>25</v>
      </c>
      <c r="D8" s="248" t="s">
        <v>26</v>
      </c>
      <c r="E8" s="248" t="s">
        <v>27</v>
      </c>
      <c r="F8" s="248" t="s">
        <v>28</v>
      </c>
      <c r="G8" s="248" t="s">
        <v>29</v>
      </c>
      <c r="H8" s="248" t="s">
        <v>30</v>
      </c>
      <c r="I8" s="248" t="s">
        <v>31</v>
      </c>
      <c r="J8" s="248" t="s">
        <v>32</v>
      </c>
      <c r="K8" s="248" t="s">
        <v>33</v>
      </c>
      <c r="L8" s="248" t="s">
        <v>34</v>
      </c>
      <c r="M8" s="248" t="s">
        <v>35</v>
      </c>
      <c r="N8" s="51"/>
      <c r="O8" s="196">
        <f>SUM(G12:J27)</f>
        <v>0</v>
      </c>
      <c r="P8" s="196"/>
      <c r="Q8" s="196"/>
    </row>
    <row r="9" spans="1:41" ht="15" customHeight="1" x14ac:dyDescent="0.25">
      <c r="A9" s="31"/>
      <c r="B9" s="249"/>
      <c r="C9" s="249"/>
      <c r="D9" s="249"/>
      <c r="E9" s="249"/>
      <c r="F9" s="249"/>
      <c r="G9" s="249"/>
      <c r="H9" s="249"/>
      <c r="I9" s="249"/>
      <c r="J9" s="249"/>
      <c r="K9" s="249"/>
      <c r="L9" s="249"/>
      <c r="M9" s="249"/>
      <c r="N9" s="52"/>
      <c r="O9" s="196"/>
      <c r="P9" s="196"/>
      <c r="Q9" s="196"/>
    </row>
    <row r="10" spans="1:41" ht="15" customHeight="1" x14ac:dyDescent="0.25">
      <c r="A10" s="18"/>
      <c r="B10" s="18"/>
      <c r="C10" s="18"/>
      <c r="D10" s="18"/>
      <c r="E10" s="18"/>
      <c r="F10" s="18"/>
      <c r="G10" s="18"/>
      <c r="H10" s="18"/>
      <c r="I10" s="18"/>
      <c r="J10" s="18"/>
      <c r="O10" s="32"/>
      <c r="P10" s="32"/>
      <c r="Q10" s="32"/>
    </row>
    <row r="11" spans="1:41" ht="20.25" x14ac:dyDescent="0.25">
      <c r="A11" s="19"/>
      <c r="B11" s="198" t="s">
        <v>134</v>
      </c>
      <c r="C11" s="198"/>
      <c r="D11" s="198"/>
      <c r="E11" s="198"/>
      <c r="F11" s="198"/>
      <c r="G11" s="195" t="s">
        <v>37</v>
      </c>
      <c r="H11" s="195"/>
      <c r="I11" s="195"/>
      <c r="J11" s="195"/>
      <c r="K11" s="21" t="s">
        <v>324</v>
      </c>
      <c r="L11" s="21" t="s">
        <v>325</v>
      </c>
      <c r="M11" s="21" t="s">
        <v>326</v>
      </c>
      <c r="N11" s="21" t="s">
        <v>327</v>
      </c>
      <c r="O11" s="21" t="s">
        <v>328</v>
      </c>
      <c r="P11" s="21" t="s">
        <v>329</v>
      </c>
      <c r="Q11" s="21" t="s">
        <v>330</v>
      </c>
      <c r="R11" s="21" t="s">
        <v>331</v>
      </c>
      <c r="S11" s="21" t="s">
        <v>332</v>
      </c>
      <c r="T11" s="21" t="s">
        <v>333</v>
      </c>
      <c r="U11" s="21" t="s">
        <v>334</v>
      </c>
      <c r="V11" s="21" t="s">
        <v>335</v>
      </c>
      <c r="W11" s="21" t="s">
        <v>336</v>
      </c>
      <c r="X11" s="21" t="s">
        <v>337</v>
      </c>
      <c r="Y11" s="21" t="s">
        <v>338</v>
      </c>
      <c r="Z11" s="21" t="s">
        <v>339</v>
      </c>
      <c r="AA11" s="21" t="s">
        <v>340</v>
      </c>
      <c r="AB11" s="21" t="s">
        <v>341</v>
      </c>
      <c r="AC11" s="21" t="s">
        <v>342</v>
      </c>
      <c r="AD11" s="21" t="s">
        <v>343</v>
      </c>
      <c r="AE11" s="21" t="s">
        <v>344</v>
      </c>
      <c r="AF11" s="21" t="s">
        <v>345</v>
      </c>
      <c r="AG11" s="21" t="s">
        <v>346</v>
      </c>
      <c r="AH11" s="21" t="s">
        <v>347</v>
      </c>
      <c r="AI11" s="21" t="s">
        <v>348</v>
      </c>
      <c r="AJ11" s="21" t="s">
        <v>349</v>
      </c>
      <c r="AK11" s="21" t="s">
        <v>350</v>
      </c>
      <c r="AL11" s="21" t="s">
        <v>351</v>
      </c>
      <c r="AM11" s="21" t="s">
        <v>352</v>
      </c>
      <c r="AN11" s="21" t="s">
        <v>353</v>
      </c>
      <c r="AO11" s="21" t="s">
        <v>354</v>
      </c>
    </row>
    <row r="12" spans="1:41" ht="26.1" customHeight="1" thickBot="1" x14ac:dyDescent="0.3">
      <c r="A12" s="1" t="s">
        <v>89</v>
      </c>
      <c r="B12" s="16">
        <v>1</v>
      </c>
      <c r="C12" s="199" t="str">
        <f>VLOOKUP(B12,Começo!A:D,3,0)</f>
        <v>Português</v>
      </c>
      <c r="D12" s="199"/>
      <c r="E12" s="199"/>
      <c r="F12" s="199"/>
      <c r="G12" s="194">
        <f>IFERROR(COUNTIF(Tabela19[#This Row],"sim"),"")*Começo!D14+SUM(Tabela19[#This Row])</f>
        <v>0</v>
      </c>
      <c r="H12" s="194"/>
      <c r="I12" s="194"/>
      <c r="J12" s="194"/>
      <c r="K12" s="158" t="s">
        <v>92</v>
      </c>
      <c r="L12" s="158" t="s">
        <v>92</v>
      </c>
      <c r="M12" s="158" t="s">
        <v>92</v>
      </c>
      <c r="N12" s="158" t="s">
        <v>92</v>
      </c>
      <c r="O12" s="158" t="s">
        <v>92</v>
      </c>
      <c r="P12" s="158" t="s">
        <v>92</v>
      </c>
      <c r="Q12" s="158" t="s">
        <v>92</v>
      </c>
      <c r="R12" s="158" t="s">
        <v>92</v>
      </c>
      <c r="S12" s="158" t="s">
        <v>92</v>
      </c>
      <c r="T12" s="158" t="s">
        <v>92</v>
      </c>
      <c r="U12" s="158" t="s">
        <v>92</v>
      </c>
      <c r="V12" s="158" t="s">
        <v>92</v>
      </c>
      <c r="W12" s="158" t="s">
        <v>92</v>
      </c>
      <c r="X12" s="158" t="s">
        <v>92</v>
      </c>
      <c r="Y12" s="158" t="s">
        <v>92</v>
      </c>
      <c r="Z12" s="158" t="s">
        <v>92</v>
      </c>
      <c r="AA12" s="158" t="s">
        <v>92</v>
      </c>
      <c r="AB12" s="158" t="s">
        <v>92</v>
      </c>
      <c r="AC12" s="158" t="s">
        <v>92</v>
      </c>
      <c r="AD12" s="158" t="s">
        <v>92</v>
      </c>
      <c r="AE12" s="158" t="s">
        <v>92</v>
      </c>
      <c r="AF12" s="158" t="s">
        <v>92</v>
      </c>
      <c r="AG12" s="158" t="s">
        <v>92</v>
      </c>
      <c r="AH12" s="158" t="s">
        <v>92</v>
      </c>
      <c r="AI12" s="158" t="s">
        <v>92</v>
      </c>
      <c r="AJ12" s="158" t="s">
        <v>92</v>
      </c>
      <c r="AK12" s="158" t="s">
        <v>92</v>
      </c>
      <c r="AL12" s="158" t="s">
        <v>92</v>
      </c>
      <c r="AM12" s="158" t="s">
        <v>92</v>
      </c>
      <c r="AN12" s="158" t="s">
        <v>92</v>
      </c>
      <c r="AO12" s="158" t="s">
        <v>92</v>
      </c>
    </row>
    <row r="13" spans="1:41" ht="26.1" customHeight="1" thickBot="1" x14ac:dyDescent="0.3">
      <c r="A13" s="1" t="s">
        <v>89</v>
      </c>
      <c r="B13" s="17">
        <v>2</v>
      </c>
      <c r="C13" s="199" t="str">
        <f>VLOOKUP(B13,Começo!A:D,3,0)</f>
        <v>Matemática</v>
      </c>
      <c r="D13" s="199"/>
      <c r="E13" s="199"/>
      <c r="F13" s="199"/>
      <c r="G13" s="194">
        <f>IFERROR(COUNTIF(Tabela19[#This Row],"sim"),"")*Começo!D15+SUM(Tabela19[#This Row])</f>
        <v>0</v>
      </c>
      <c r="H13" s="194"/>
      <c r="I13" s="194"/>
      <c r="J13" s="194"/>
      <c r="K13" s="158" t="s">
        <v>92</v>
      </c>
      <c r="L13" s="158" t="s">
        <v>92</v>
      </c>
      <c r="M13" s="158" t="s">
        <v>92</v>
      </c>
      <c r="N13" s="158" t="s">
        <v>92</v>
      </c>
      <c r="O13" s="158" t="s">
        <v>92</v>
      </c>
      <c r="P13" s="158" t="s">
        <v>92</v>
      </c>
      <c r="Q13" s="158" t="s">
        <v>92</v>
      </c>
      <c r="R13" s="158" t="s">
        <v>92</v>
      </c>
      <c r="S13" s="158" t="s">
        <v>92</v>
      </c>
      <c r="T13" s="158" t="s">
        <v>92</v>
      </c>
      <c r="U13" s="158" t="s">
        <v>92</v>
      </c>
      <c r="V13" s="158" t="s">
        <v>92</v>
      </c>
      <c r="W13" s="158" t="s">
        <v>92</v>
      </c>
      <c r="X13" s="158" t="s">
        <v>92</v>
      </c>
      <c r="Y13" s="158" t="s">
        <v>92</v>
      </c>
      <c r="Z13" s="158" t="s">
        <v>92</v>
      </c>
      <c r="AA13" s="158" t="s">
        <v>92</v>
      </c>
      <c r="AB13" s="158" t="s">
        <v>92</v>
      </c>
      <c r="AC13" s="158" t="s">
        <v>92</v>
      </c>
      <c r="AD13" s="158" t="s">
        <v>92</v>
      </c>
      <c r="AE13" s="158" t="s">
        <v>92</v>
      </c>
      <c r="AF13" s="158" t="s">
        <v>92</v>
      </c>
      <c r="AG13" s="158" t="s">
        <v>92</v>
      </c>
      <c r="AH13" s="158" t="s">
        <v>92</v>
      </c>
      <c r="AI13" s="158" t="s">
        <v>92</v>
      </c>
      <c r="AJ13" s="158" t="s">
        <v>92</v>
      </c>
      <c r="AK13" s="158" t="s">
        <v>92</v>
      </c>
      <c r="AL13" s="158" t="s">
        <v>92</v>
      </c>
      <c r="AM13" s="158" t="s">
        <v>92</v>
      </c>
      <c r="AN13" s="158" t="s">
        <v>92</v>
      </c>
      <c r="AO13" s="158" t="s">
        <v>92</v>
      </c>
    </row>
    <row r="14" spans="1:41" ht="26.1" customHeight="1" thickBot="1" x14ac:dyDescent="0.3">
      <c r="A14" s="1" t="s">
        <v>89</v>
      </c>
      <c r="B14" s="17">
        <v>3</v>
      </c>
      <c r="C14" s="199" t="str">
        <f>VLOOKUP(B14,Começo!A:D,3,0)</f>
        <v>História</v>
      </c>
      <c r="D14" s="199"/>
      <c r="E14" s="199"/>
      <c r="F14" s="199"/>
      <c r="G14" s="194">
        <f>IFERROR(COUNTIF(Tabela19[#This Row],"sim"),"")*Começo!D16+SUM(Tabela19[#This Row])</f>
        <v>0</v>
      </c>
      <c r="H14" s="194"/>
      <c r="I14" s="194"/>
      <c r="J14" s="194"/>
      <c r="K14" s="158" t="s">
        <v>92</v>
      </c>
      <c r="L14" s="158" t="s">
        <v>92</v>
      </c>
      <c r="M14" s="158" t="s">
        <v>92</v>
      </c>
      <c r="N14" s="158" t="s">
        <v>92</v>
      </c>
      <c r="O14" s="158" t="s">
        <v>92</v>
      </c>
      <c r="P14" s="158" t="s">
        <v>92</v>
      </c>
      <c r="Q14" s="158" t="s">
        <v>92</v>
      </c>
      <c r="R14" s="158" t="s">
        <v>92</v>
      </c>
      <c r="S14" s="158" t="s">
        <v>92</v>
      </c>
      <c r="T14" s="158" t="s">
        <v>92</v>
      </c>
      <c r="U14" s="158" t="s">
        <v>92</v>
      </c>
      <c r="V14" s="158" t="s">
        <v>92</v>
      </c>
      <c r="W14" s="158" t="s">
        <v>92</v>
      </c>
      <c r="X14" s="158" t="s">
        <v>92</v>
      </c>
      <c r="Y14" s="158" t="s">
        <v>92</v>
      </c>
      <c r="Z14" s="158" t="s">
        <v>92</v>
      </c>
      <c r="AA14" s="158" t="s">
        <v>92</v>
      </c>
      <c r="AB14" s="158" t="s">
        <v>92</v>
      </c>
      <c r="AC14" s="158" t="s">
        <v>92</v>
      </c>
      <c r="AD14" s="158" t="s">
        <v>92</v>
      </c>
      <c r="AE14" s="158" t="s">
        <v>92</v>
      </c>
      <c r="AF14" s="158" t="s">
        <v>92</v>
      </c>
      <c r="AG14" s="158" t="s">
        <v>92</v>
      </c>
      <c r="AH14" s="158" t="s">
        <v>92</v>
      </c>
      <c r="AI14" s="158" t="s">
        <v>92</v>
      </c>
      <c r="AJ14" s="158" t="s">
        <v>92</v>
      </c>
      <c r="AK14" s="158" t="s">
        <v>92</v>
      </c>
      <c r="AL14" s="158" t="s">
        <v>92</v>
      </c>
      <c r="AM14" s="158" t="s">
        <v>92</v>
      </c>
      <c r="AN14" s="158" t="s">
        <v>92</v>
      </c>
      <c r="AO14" s="158" t="s">
        <v>92</v>
      </c>
    </row>
    <row r="15" spans="1:41" ht="26.1" customHeight="1" thickBot="1" x14ac:dyDescent="0.3">
      <c r="A15" s="1" t="s">
        <v>89</v>
      </c>
      <c r="B15" s="17">
        <v>4</v>
      </c>
      <c r="C15" s="199" t="str">
        <f>VLOOKUP(B15,Começo!A:D,3,0)</f>
        <v>Física</v>
      </c>
      <c r="D15" s="199"/>
      <c r="E15" s="199"/>
      <c r="F15" s="199"/>
      <c r="G15" s="194">
        <f>IFERROR(COUNTIF(Tabela19[#This Row],"sim"),"")*Começo!D17+SUM(Tabela19[#This Row])</f>
        <v>0</v>
      </c>
      <c r="H15" s="194"/>
      <c r="I15" s="194"/>
      <c r="J15" s="194"/>
      <c r="K15" s="158" t="s">
        <v>92</v>
      </c>
      <c r="L15" s="158" t="s">
        <v>92</v>
      </c>
      <c r="M15" s="158" t="s">
        <v>92</v>
      </c>
      <c r="N15" s="158" t="s">
        <v>92</v>
      </c>
      <c r="O15" s="158" t="s">
        <v>92</v>
      </c>
      <c r="P15" s="158" t="s">
        <v>92</v>
      </c>
      <c r="Q15" s="158" t="s">
        <v>92</v>
      </c>
      <c r="R15" s="158" t="s">
        <v>92</v>
      </c>
      <c r="S15" s="158" t="s">
        <v>92</v>
      </c>
      <c r="T15" s="158" t="s">
        <v>92</v>
      </c>
      <c r="U15" s="158" t="s">
        <v>92</v>
      </c>
      <c r="V15" s="158" t="s">
        <v>92</v>
      </c>
      <c r="W15" s="158" t="s">
        <v>92</v>
      </c>
      <c r="X15" s="158" t="s">
        <v>92</v>
      </c>
      <c r="Y15" s="158" t="s">
        <v>92</v>
      </c>
      <c r="Z15" s="158" t="s">
        <v>92</v>
      </c>
      <c r="AA15" s="158" t="s">
        <v>92</v>
      </c>
      <c r="AB15" s="158" t="s">
        <v>92</v>
      </c>
      <c r="AC15" s="158" t="s">
        <v>92</v>
      </c>
      <c r="AD15" s="158" t="s">
        <v>92</v>
      </c>
      <c r="AE15" s="158" t="s">
        <v>92</v>
      </c>
      <c r="AF15" s="158" t="s">
        <v>92</v>
      </c>
      <c r="AG15" s="158" t="s">
        <v>92</v>
      </c>
      <c r="AH15" s="158" t="s">
        <v>92</v>
      </c>
      <c r="AI15" s="158" t="s">
        <v>92</v>
      </c>
      <c r="AJ15" s="158" t="s">
        <v>92</v>
      </c>
      <c r="AK15" s="158" t="s">
        <v>92</v>
      </c>
      <c r="AL15" s="158" t="s">
        <v>92</v>
      </c>
      <c r="AM15" s="158" t="s">
        <v>92</v>
      </c>
      <c r="AN15" s="158" t="s">
        <v>92</v>
      </c>
      <c r="AO15" s="158" t="s">
        <v>92</v>
      </c>
    </row>
    <row r="16" spans="1:41" ht="26.1" customHeight="1" thickBot="1" x14ac:dyDescent="0.3">
      <c r="A16" s="1" t="s">
        <v>89</v>
      </c>
      <c r="B16" s="17">
        <v>5</v>
      </c>
      <c r="C16" s="199" t="str">
        <f>VLOOKUP(B16,Começo!A:D,3,0)</f>
        <v>Quimíca</v>
      </c>
      <c r="D16" s="199"/>
      <c r="E16" s="199"/>
      <c r="F16" s="199"/>
      <c r="G16" s="194">
        <f>IFERROR(COUNTIF(Tabela19[#This Row],"sim"),"")*Começo!D18+SUM(Tabela19[#This Row])</f>
        <v>0</v>
      </c>
      <c r="H16" s="194"/>
      <c r="I16" s="194"/>
      <c r="J16" s="194"/>
      <c r="K16" s="158" t="s">
        <v>92</v>
      </c>
      <c r="L16" s="158" t="s">
        <v>92</v>
      </c>
      <c r="M16" s="158" t="s">
        <v>92</v>
      </c>
      <c r="N16" s="158" t="s">
        <v>92</v>
      </c>
      <c r="O16" s="158" t="s">
        <v>92</v>
      </c>
      <c r="P16" s="158" t="s">
        <v>92</v>
      </c>
      <c r="Q16" s="158" t="s">
        <v>92</v>
      </c>
      <c r="R16" s="158" t="s">
        <v>92</v>
      </c>
      <c r="S16" s="158" t="s">
        <v>92</v>
      </c>
      <c r="T16" s="158" t="s">
        <v>92</v>
      </c>
      <c r="U16" s="158" t="s">
        <v>92</v>
      </c>
      <c r="V16" s="158" t="s">
        <v>92</v>
      </c>
      <c r="W16" s="158" t="s">
        <v>92</v>
      </c>
      <c r="X16" s="158" t="s">
        <v>92</v>
      </c>
      <c r="Y16" s="158" t="s">
        <v>92</v>
      </c>
      <c r="Z16" s="158" t="s">
        <v>92</v>
      </c>
      <c r="AA16" s="158" t="s">
        <v>92</v>
      </c>
      <c r="AB16" s="158" t="s">
        <v>92</v>
      </c>
      <c r="AC16" s="158" t="s">
        <v>92</v>
      </c>
      <c r="AD16" s="158" t="s">
        <v>92</v>
      </c>
      <c r="AE16" s="158" t="s">
        <v>92</v>
      </c>
      <c r="AF16" s="158" t="s">
        <v>92</v>
      </c>
      <c r="AG16" s="158" t="s">
        <v>92</v>
      </c>
      <c r="AH16" s="158" t="s">
        <v>92</v>
      </c>
      <c r="AI16" s="158" t="s">
        <v>92</v>
      </c>
      <c r="AJ16" s="158" t="s">
        <v>92</v>
      </c>
      <c r="AK16" s="158" t="s">
        <v>92</v>
      </c>
      <c r="AL16" s="158" t="s">
        <v>92</v>
      </c>
      <c r="AM16" s="158" t="s">
        <v>92</v>
      </c>
      <c r="AN16" s="158" t="s">
        <v>92</v>
      </c>
      <c r="AO16" s="158" t="s">
        <v>92</v>
      </c>
    </row>
    <row r="17" spans="1:41" ht="26.1" customHeight="1" thickBot="1" x14ac:dyDescent="0.3">
      <c r="A17" s="1" t="s">
        <v>89</v>
      </c>
      <c r="B17" s="17">
        <v>6</v>
      </c>
      <c r="C17" s="199" t="str">
        <f>VLOOKUP(B17,Começo!A:D,3,0)</f>
        <v>Legislação</v>
      </c>
      <c r="D17" s="199"/>
      <c r="E17" s="199"/>
      <c r="F17" s="199"/>
      <c r="G17" s="194">
        <f>IFERROR(COUNTIF(Tabela19[#This Row],"sim"),"")*Começo!D19+SUM(Tabela19[#This Row])</f>
        <v>0</v>
      </c>
      <c r="H17" s="194"/>
      <c r="I17" s="194"/>
      <c r="J17" s="194"/>
      <c r="K17" s="158" t="s">
        <v>92</v>
      </c>
      <c r="L17" s="158" t="s">
        <v>92</v>
      </c>
      <c r="M17" s="158" t="s">
        <v>92</v>
      </c>
      <c r="N17" s="158" t="s">
        <v>92</v>
      </c>
      <c r="O17" s="158" t="s">
        <v>92</v>
      </c>
      <c r="P17" s="158" t="s">
        <v>92</v>
      </c>
      <c r="Q17" s="158" t="s">
        <v>92</v>
      </c>
      <c r="R17" s="158" t="s">
        <v>92</v>
      </c>
      <c r="S17" s="158" t="s">
        <v>92</v>
      </c>
      <c r="T17" s="158" t="s">
        <v>92</v>
      </c>
      <c r="U17" s="158" t="s">
        <v>92</v>
      </c>
      <c r="V17" s="158" t="s">
        <v>92</v>
      </c>
      <c r="W17" s="158" t="s">
        <v>92</v>
      </c>
      <c r="X17" s="158" t="s">
        <v>92</v>
      </c>
      <c r="Y17" s="158" t="s">
        <v>92</v>
      </c>
      <c r="Z17" s="158" t="s">
        <v>92</v>
      </c>
      <c r="AA17" s="158" t="s">
        <v>92</v>
      </c>
      <c r="AB17" s="158" t="s">
        <v>92</v>
      </c>
      <c r="AC17" s="158" t="s">
        <v>92</v>
      </c>
      <c r="AD17" s="158" t="s">
        <v>92</v>
      </c>
      <c r="AE17" s="158" t="s">
        <v>92</v>
      </c>
      <c r="AF17" s="158" t="s">
        <v>92</v>
      </c>
      <c r="AG17" s="158" t="s">
        <v>92</v>
      </c>
      <c r="AH17" s="158" t="s">
        <v>92</v>
      </c>
      <c r="AI17" s="158" t="s">
        <v>92</v>
      </c>
      <c r="AJ17" s="158" t="s">
        <v>92</v>
      </c>
      <c r="AK17" s="158" t="s">
        <v>92</v>
      </c>
      <c r="AL17" s="158" t="s">
        <v>92</v>
      </c>
      <c r="AM17" s="158" t="s">
        <v>92</v>
      </c>
      <c r="AN17" s="158" t="s">
        <v>92</v>
      </c>
      <c r="AO17" s="158" t="s">
        <v>92</v>
      </c>
    </row>
    <row r="18" spans="1:41" ht="26.1" customHeight="1" thickBot="1" x14ac:dyDescent="0.3">
      <c r="A18" s="1" t="s">
        <v>89</v>
      </c>
      <c r="B18" s="17">
        <v>7</v>
      </c>
      <c r="C18" s="199" t="str">
        <f>VLOOKUP(B18,Começo!A:D,3,0)</f>
        <v>Processo Penal</v>
      </c>
      <c r="D18" s="199"/>
      <c r="E18" s="199"/>
      <c r="F18" s="199"/>
      <c r="G18" s="194">
        <f>IFERROR(COUNTIF(Tabela19[#This Row],"sim"),"")*Começo!D20+SUM(Tabela19[#This Row])</f>
        <v>0</v>
      </c>
      <c r="H18" s="194"/>
      <c r="I18" s="194"/>
      <c r="J18" s="194"/>
      <c r="K18" s="158" t="s">
        <v>92</v>
      </c>
      <c r="L18" s="158" t="s">
        <v>92</v>
      </c>
      <c r="M18" s="158" t="s">
        <v>92</v>
      </c>
      <c r="N18" s="158" t="s">
        <v>92</v>
      </c>
      <c r="O18" s="158" t="s">
        <v>92</v>
      </c>
      <c r="P18" s="158" t="s">
        <v>92</v>
      </c>
      <c r="Q18" s="158" t="s">
        <v>92</v>
      </c>
      <c r="R18" s="158" t="s">
        <v>92</v>
      </c>
      <c r="S18" s="158" t="s">
        <v>92</v>
      </c>
      <c r="T18" s="158" t="s">
        <v>92</v>
      </c>
      <c r="U18" s="158" t="s">
        <v>92</v>
      </c>
      <c r="V18" s="158" t="s">
        <v>92</v>
      </c>
      <c r="W18" s="158" t="s">
        <v>92</v>
      </c>
      <c r="X18" s="158" t="s">
        <v>92</v>
      </c>
      <c r="Y18" s="158" t="s">
        <v>92</v>
      </c>
      <c r="Z18" s="158" t="s">
        <v>92</v>
      </c>
      <c r="AA18" s="158" t="s">
        <v>92</v>
      </c>
      <c r="AB18" s="158" t="s">
        <v>92</v>
      </c>
      <c r="AC18" s="158" t="s">
        <v>92</v>
      </c>
      <c r="AD18" s="158" t="s">
        <v>92</v>
      </c>
      <c r="AE18" s="158" t="s">
        <v>92</v>
      </c>
      <c r="AF18" s="158" t="s">
        <v>92</v>
      </c>
      <c r="AG18" s="158" t="s">
        <v>92</v>
      </c>
      <c r="AH18" s="158" t="s">
        <v>92</v>
      </c>
      <c r="AI18" s="158" t="s">
        <v>92</v>
      </c>
      <c r="AJ18" s="158" t="s">
        <v>92</v>
      </c>
      <c r="AK18" s="158" t="s">
        <v>92</v>
      </c>
      <c r="AL18" s="158" t="s">
        <v>92</v>
      </c>
      <c r="AM18" s="158" t="s">
        <v>92</v>
      </c>
      <c r="AN18" s="158" t="s">
        <v>92</v>
      </c>
      <c r="AO18" s="158" t="s">
        <v>92</v>
      </c>
    </row>
    <row r="19" spans="1:41" ht="26.1" customHeight="1" thickBot="1" x14ac:dyDescent="0.3">
      <c r="A19" s="1" t="s">
        <v>89</v>
      </c>
      <c r="B19" s="17">
        <v>8</v>
      </c>
      <c r="C19" s="199" t="str">
        <f>VLOOKUP(B19,Começo!A:D,3,0)</f>
        <v>Direito Administrativo</v>
      </c>
      <c r="D19" s="199"/>
      <c r="E19" s="199"/>
      <c r="F19" s="199"/>
      <c r="G19" s="194">
        <f>IFERROR(COUNTIF(Tabela19[#This Row],"sim"),"")*Começo!D21+SUM(Tabela19[#This Row])</f>
        <v>0</v>
      </c>
      <c r="H19" s="194"/>
      <c r="I19" s="194"/>
      <c r="J19" s="194"/>
      <c r="K19" s="158" t="s">
        <v>92</v>
      </c>
      <c r="L19" s="158" t="s">
        <v>92</v>
      </c>
      <c r="M19" s="158" t="s">
        <v>92</v>
      </c>
      <c r="N19" s="158" t="s">
        <v>92</v>
      </c>
      <c r="O19" s="158" t="s">
        <v>92</v>
      </c>
      <c r="P19" s="158" t="s">
        <v>92</v>
      </c>
      <c r="Q19" s="158" t="s">
        <v>92</v>
      </c>
      <c r="R19" s="158" t="s">
        <v>92</v>
      </c>
      <c r="S19" s="158" t="s">
        <v>92</v>
      </c>
      <c r="T19" s="158" t="s">
        <v>92</v>
      </c>
      <c r="U19" s="158" t="s">
        <v>92</v>
      </c>
      <c r="V19" s="158" t="s">
        <v>92</v>
      </c>
      <c r="W19" s="158" t="s">
        <v>92</v>
      </c>
      <c r="X19" s="158" t="s">
        <v>92</v>
      </c>
      <c r="Y19" s="158" t="s">
        <v>92</v>
      </c>
      <c r="Z19" s="158" t="s">
        <v>92</v>
      </c>
      <c r="AA19" s="158" t="s">
        <v>92</v>
      </c>
      <c r="AB19" s="158" t="s">
        <v>92</v>
      </c>
      <c r="AC19" s="158" t="s">
        <v>92</v>
      </c>
      <c r="AD19" s="158" t="s">
        <v>92</v>
      </c>
      <c r="AE19" s="158" t="s">
        <v>92</v>
      </c>
      <c r="AF19" s="158" t="s">
        <v>92</v>
      </c>
      <c r="AG19" s="158" t="s">
        <v>92</v>
      </c>
      <c r="AH19" s="158" t="s">
        <v>92</v>
      </c>
      <c r="AI19" s="158" t="s">
        <v>92</v>
      </c>
      <c r="AJ19" s="158" t="s">
        <v>92</v>
      </c>
      <c r="AK19" s="158" t="s">
        <v>92</v>
      </c>
      <c r="AL19" s="158" t="s">
        <v>92</v>
      </c>
      <c r="AM19" s="158" t="s">
        <v>92</v>
      </c>
      <c r="AN19" s="158" t="s">
        <v>92</v>
      </c>
      <c r="AO19" s="158" t="s">
        <v>92</v>
      </c>
    </row>
    <row r="20" spans="1:41" ht="26.1" customHeight="1" thickBot="1" x14ac:dyDescent="0.3">
      <c r="A20" s="1" t="s">
        <v>89</v>
      </c>
      <c r="B20" s="17">
        <v>9</v>
      </c>
      <c r="C20" s="199" t="str">
        <f>VLOOKUP(B20,Começo!A:D,3,0)</f>
        <v>Direito Tributário</v>
      </c>
      <c r="D20" s="199"/>
      <c r="E20" s="199"/>
      <c r="F20" s="199"/>
      <c r="G20" s="194">
        <f>IFERROR(COUNTIF(Tabela19[#This Row],"sim"),"")*Começo!D22+SUM(Tabela19[#This Row])</f>
        <v>0</v>
      </c>
      <c r="H20" s="194"/>
      <c r="I20" s="194"/>
      <c r="J20" s="194"/>
      <c r="K20" s="158" t="s">
        <v>92</v>
      </c>
      <c r="L20" s="158" t="s">
        <v>92</v>
      </c>
      <c r="M20" s="158" t="s">
        <v>92</v>
      </c>
      <c r="N20" s="158" t="s">
        <v>92</v>
      </c>
      <c r="O20" s="158" t="s">
        <v>92</v>
      </c>
      <c r="P20" s="158" t="s">
        <v>92</v>
      </c>
      <c r="Q20" s="158" t="s">
        <v>92</v>
      </c>
      <c r="R20" s="158" t="s">
        <v>92</v>
      </c>
      <c r="S20" s="158" t="s">
        <v>92</v>
      </c>
      <c r="T20" s="158" t="s">
        <v>92</v>
      </c>
      <c r="U20" s="158" t="s">
        <v>92</v>
      </c>
      <c r="V20" s="158" t="s">
        <v>92</v>
      </c>
      <c r="W20" s="158" t="s">
        <v>92</v>
      </c>
      <c r="X20" s="158" t="s">
        <v>92</v>
      </c>
      <c r="Y20" s="158" t="s">
        <v>92</v>
      </c>
      <c r="Z20" s="158" t="s">
        <v>92</v>
      </c>
      <c r="AA20" s="158" t="s">
        <v>92</v>
      </c>
      <c r="AB20" s="158" t="s">
        <v>92</v>
      </c>
      <c r="AC20" s="158" t="s">
        <v>92</v>
      </c>
      <c r="AD20" s="158" t="s">
        <v>92</v>
      </c>
      <c r="AE20" s="158" t="s">
        <v>92</v>
      </c>
      <c r="AF20" s="158" t="s">
        <v>92</v>
      </c>
      <c r="AG20" s="158" t="s">
        <v>92</v>
      </c>
      <c r="AH20" s="158" t="s">
        <v>92</v>
      </c>
      <c r="AI20" s="158" t="s">
        <v>92</v>
      </c>
      <c r="AJ20" s="158" t="s">
        <v>92</v>
      </c>
      <c r="AK20" s="158" t="s">
        <v>92</v>
      </c>
      <c r="AL20" s="158" t="s">
        <v>92</v>
      </c>
      <c r="AM20" s="158" t="s">
        <v>92</v>
      </c>
      <c r="AN20" s="158" t="s">
        <v>92</v>
      </c>
      <c r="AO20" s="158" t="s">
        <v>92</v>
      </c>
    </row>
    <row r="21" spans="1:41" ht="26.1" customHeight="1" thickBot="1" x14ac:dyDescent="0.3">
      <c r="A21" s="1" t="s">
        <v>89</v>
      </c>
      <c r="B21" s="17">
        <v>10</v>
      </c>
      <c r="C21" s="199" t="str">
        <f>VLOOKUP(B21,Começo!A:D,3,0)</f>
        <v>Inglês</v>
      </c>
      <c r="D21" s="199"/>
      <c r="E21" s="199"/>
      <c r="F21" s="199"/>
      <c r="G21" s="194">
        <f>IFERROR(COUNTIF(Tabela19[#This Row],"sim"),"")*Começo!D23+SUM(Tabela19[#This Row])</f>
        <v>0</v>
      </c>
      <c r="H21" s="194"/>
      <c r="I21" s="194"/>
      <c r="J21" s="194"/>
      <c r="K21" s="158" t="s">
        <v>92</v>
      </c>
      <c r="L21" s="158" t="s">
        <v>92</v>
      </c>
      <c r="M21" s="158" t="s">
        <v>92</v>
      </c>
      <c r="N21" s="158" t="s">
        <v>92</v>
      </c>
      <c r="O21" s="158" t="s">
        <v>92</v>
      </c>
      <c r="P21" s="158" t="s">
        <v>92</v>
      </c>
      <c r="Q21" s="158" t="s">
        <v>92</v>
      </c>
      <c r="R21" s="158" t="s">
        <v>92</v>
      </c>
      <c r="S21" s="158" t="s">
        <v>92</v>
      </c>
      <c r="T21" s="158" t="s">
        <v>92</v>
      </c>
      <c r="U21" s="158" t="s">
        <v>92</v>
      </c>
      <c r="V21" s="158" t="s">
        <v>92</v>
      </c>
      <c r="W21" s="158" t="s">
        <v>92</v>
      </c>
      <c r="X21" s="158" t="s">
        <v>92</v>
      </c>
      <c r="Y21" s="158" t="s">
        <v>92</v>
      </c>
      <c r="Z21" s="158" t="s">
        <v>92</v>
      </c>
      <c r="AA21" s="158" t="s">
        <v>92</v>
      </c>
      <c r="AB21" s="158" t="s">
        <v>92</v>
      </c>
      <c r="AC21" s="158" t="s">
        <v>92</v>
      </c>
      <c r="AD21" s="158" t="s">
        <v>92</v>
      </c>
      <c r="AE21" s="158" t="s">
        <v>92</v>
      </c>
      <c r="AF21" s="158" t="s">
        <v>92</v>
      </c>
      <c r="AG21" s="158" t="s">
        <v>92</v>
      </c>
      <c r="AH21" s="158" t="s">
        <v>92</v>
      </c>
      <c r="AI21" s="158" t="s">
        <v>92</v>
      </c>
      <c r="AJ21" s="158" t="s">
        <v>92</v>
      </c>
      <c r="AK21" s="158" t="s">
        <v>92</v>
      </c>
      <c r="AL21" s="158" t="s">
        <v>92</v>
      </c>
      <c r="AM21" s="158" t="s">
        <v>92</v>
      </c>
      <c r="AN21" s="158" t="s">
        <v>92</v>
      </c>
      <c r="AO21" s="158" t="s">
        <v>92</v>
      </c>
    </row>
    <row r="22" spans="1:41" ht="26.1" customHeight="1" thickBot="1" x14ac:dyDescent="0.3">
      <c r="A22" s="1" t="s">
        <v>89</v>
      </c>
      <c r="B22" s="17">
        <v>11</v>
      </c>
      <c r="C22" s="199" t="str">
        <f>VLOOKUP(B22,Começo!A:D,3,0)</f>
        <v>Análise de Sistemas</v>
      </c>
      <c r="D22" s="199"/>
      <c r="E22" s="199"/>
      <c r="F22" s="199"/>
      <c r="G22" s="194">
        <f>IFERROR(COUNTIF(Tabela19[#This Row],"sim"),"")*Começo!D24+SUM(Tabela19[#This Row])</f>
        <v>0</v>
      </c>
      <c r="H22" s="194"/>
      <c r="I22" s="194"/>
      <c r="J22" s="194"/>
      <c r="K22" s="158" t="s">
        <v>92</v>
      </c>
      <c r="L22" s="158" t="s">
        <v>92</v>
      </c>
      <c r="M22" s="158" t="s">
        <v>92</v>
      </c>
      <c r="N22" s="158" t="s">
        <v>92</v>
      </c>
      <c r="O22" s="158" t="s">
        <v>92</v>
      </c>
      <c r="P22" s="158" t="s">
        <v>92</v>
      </c>
      <c r="Q22" s="158" t="s">
        <v>92</v>
      </c>
      <c r="R22" s="158" t="s">
        <v>92</v>
      </c>
      <c r="S22" s="158" t="s">
        <v>92</v>
      </c>
      <c r="T22" s="158" t="s">
        <v>92</v>
      </c>
      <c r="U22" s="158" t="s">
        <v>92</v>
      </c>
      <c r="V22" s="158" t="s">
        <v>92</v>
      </c>
      <c r="W22" s="158" t="s">
        <v>92</v>
      </c>
      <c r="X22" s="158" t="s">
        <v>92</v>
      </c>
      <c r="Y22" s="158" t="s">
        <v>92</v>
      </c>
      <c r="Z22" s="158" t="s">
        <v>92</v>
      </c>
      <c r="AA22" s="158" t="s">
        <v>92</v>
      </c>
      <c r="AB22" s="158" t="s">
        <v>92</v>
      </c>
      <c r="AC22" s="158" t="s">
        <v>92</v>
      </c>
      <c r="AD22" s="158" t="s">
        <v>92</v>
      </c>
      <c r="AE22" s="158" t="s">
        <v>92</v>
      </c>
      <c r="AF22" s="158" t="s">
        <v>92</v>
      </c>
      <c r="AG22" s="158" t="s">
        <v>92</v>
      </c>
      <c r="AH22" s="158" t="s">
        <v>92</v>
      </c>
      <c r="AI22" s="158" t="s">
        <v>92</v>
      </c>
      <c r="AJ22" s="158" t="s">
        <v>92</v>
      </c>
      <c r="AK22" s="158" t="s">
        <v>92</v>
      </c>
      <c r="AL22" s="158" t="s">
        <v>92</v>
      </c>
      <c r="AM22" s="158" t="s">
        <v>92</v>
      </c>
      <c r="AN22" s="158" t="s">
        <v>92</v>
      </c>
      <c r="AO22" s="158" t="s">
        <v>92</v>
      </c>
    </row>
    <row r="23" spans="1:41" ht="26.1" customHeight="1" thickBot="1" x14ac:dyDescent="0.3">
      <c r="A23" s="1" t="s">
        <v>89</v>
      </c>
      <c r="B23" s="17">
        <v>12</v>
      </c>
      <c r="C23" s="199" t="str">
        <f>VLOOKUP(B23,Começo!A:D,3,0)</f>
        <v>Direito Legislativo</v>
      </c>
      <c r="D23" s="199"/>
      <c r="E23" s="199"/>
      <c r="F23" s="199"/>
      <c r="G23" s="194">
        <f>IFERROR(COUNTIF(Tabela19[#This Row],"sim"),"")*Começo!D25+SUM(Tabela19[#This Row])</f>
        <v>0</v>
      </c>
      <c r="H23" s="194"/>
      <c r="I23" s="194"/>
      <c r="J23" s="194"/>
      <c r="K23" s="158" t="s">
        <v>92</v>
      </c>
      <c r="L23" s="158" t="s">
        <v>92</v>
      </c>
      <c r="M23" s="158" t="s">
        <v>92</v>
      </c>
      <c r="N23" s="158" t="s">
        <v>92</v>
      </c>
      <c r="O23" s="158" t="s">
        <v>92</v>
      </c>
      <c r="P23" s="158" t="s">
        <v>92</v>
      </c>
      <c r="Q23" s="158" t="s">
        <v>92</v>
      </c>
      <c r="R23" s="158" t="s">
        <v>92</v>
      </c>
      <c r="S23" s="158" t="s">
        <v>92</v>
      </c>
      <c r="T23" s="158" t="s">
        <v>92</v>
      </c>
      <c r="U23" s="158" t="s">
        <v>92</v>
      </c>
      <c r="V23" s="158" t="s">
        <v>92</v>
      </c>
      <c r="W23" s="158" t="s">
        <v>92</v>
      </c>
      <c r="X23" s="158" t="s">
        <v>92</v>
      </c>
      <c r="Y23" s="158" t="s">
        <v>92</v>
      </c>
      <c r="Z23" s="158" t="s">
        <v>92</v>
      </c>
      <c r="AA23" s="158" t="s">
        <v>92</v>
      </c>
      <c r="AB23" s="158" t="s">
        <v>92</v>
      </c>
      <c r="AC23" s="158" t="s">
        <v>92</v>
      </c>
      <c r="AD23" s="158" t="s">
        <v>92</v>
      </c>
      <c r="AE23" s="158" t="s">
        <v>92</v>
      </c>
      <c r="AF23" s="158" t="s">
        <v>92</v>
      </c>
      <c r="AG23" s="158" t="s">
        <v>92</v>
      </c>
      <c r="AH23" s="158" t="s">
        <v>92</v>
      </c>
      <c r="AI23" s="158" t="s">
        <v>92</v>
      </c>
      <c r="AJ23" s="158" t="s">
        <v>92</v>
      </c>
      <c r="AK23" s="158" t="s">
        <v>92</v>
      </c>
      <c r="AL23" s="158" t="s">
        <v>92</v>
      </c>
      <c r="AM23" s="158" t="s">
        <v>92</v>
      </c>
      <c r="AN23" s="158" t="s">
        <v>92</v>
      </c>
      <c r="AO23" s="158" t="s">
        <v>92</v>
      </c>
    </row>
    <row r="24" spans="1:41" ht="26.1" customHeight="1" thickBot="1" x14ac:dyDescent="0.3">
      <c r="A24" s="1" t="s">
        <v>89</v>
      </c>
      <c r="B24" s="17">
        <v>13</v>
      </c>
      <c r="C24" s="199" t="str">
        <f>VLOOKUP(B24,Começo!A:D,3,0)</f>
        <v>Mecânica dos Fluídos</v>
      </c>
      <c r="D24" s="199"/>
      <c r="E24" s="199"/>
      <c r="F24" s="199"/>
      <c r="G24" s="194">
        <f>IFERROR(COUNTIF(Tabela19[#This Row],"sim"),"")*Começo!D26+SUM(Tabela19[#This Row])</f>
        <v>0</v>
      </c>
      <c r="H24" s="194"/>
      <c r="I24" s="194"/>
      <c r="J24" s="194"/>
      <c r="K24" s="158" t="s">
        <v>92</v>
      </c>
      <c r="L24" s="158" t="s">
        <v>92</v>
      </c>
      <c r="M24" s="158" t="s">
        <v>92</v>
      </c>
      <c r="N24" s="158" t="s">
        <v>92</v>
      </c>
      <c r="O24" s="158" t="s">
        <v>92</v>
      </c>
      <c r="P24" s="158" t="s">
        <v>92</v>
      </c>
      <c r="Q24" s="158" t="s">
        <v>92</v>
      </c>
      <c r="R24" s="158" t="s">
        <v>92</v>
      </c>
      <c r="S24" s="158" t="s">
        <v>92</v>
      </c>
      <c r="T24" s="158" t="s">
        <v>92</v>
      </c>
      <c r="U24" s="158" t="s">
        <v>92</v>
      </c>
      <c r="V24" s="158" t="s">
        <v>92</v>
      </c>
      <c r="W24" s="158" t="s">
        <v>92</v>
      </c>
      <c r="X24" s="158" t="s">
        <v>92</v>
      </c>
      <c r="Y24" s="158" t="s">
        <v>92</v>
      </c>
      <c r="Z24" s="158" t="s">
        <v>92</v>
      </c>
      <c r="AA24" s="158" t="s">
        <v>92</v>
      </c>
      <c r="AB24" s="158" t="s">
        <v>92</v>
      </c>
      <c r="AC24" s="158" t="s">
        <v>92</v>
      </c>
      <c r="AD24" s="158" t="s">
        <v>92</v>
      </c>
      <c r="AE24" s="158" t="s">
        <v>92</v>
      </c>
      <c r="AF24" s="158" t="s">
        <v>92</v>
      </c>
      <c r="AG24" s="158" t="s">
        <v>92</v>
      </c>
      <c r="AH24" s="158" t="s">
        <v>92</v>
      </c>
      <c r="AI24" s="158" t="s">
        <v>92</v>
      </c>
      <c r="AJ24" s="158" t="s">
        <v>92</v>
      </c>
      <c r="AK24" s="158" t="s">
        <v>92</v>
      </c>
      <c r="AL24" s="158" t="s">
        <v>92</v>
      </c>
      <c r="AM24" s="158" t="s">
        <v>92</v>
      </c>
      <c r="AN24" s="158" t="s">
        <v>92</v>
      </c>
      <c r="AO24" s="158" t="s">
        <v>92</v>
      </c>
    </row>
    <row r="25" spans="1:41" ht="26.1" customHeight="1" thickBot="1" x14ac:dyDescent="0.3">
      <c r="A25" s="1" t="s">
        <v>89</v>
      </c>
      <c r="B25" s="17">
        <v>14</v>
      </c>
      <c r="C25" s="199" t="str">
        <f>VLOOKUP(B25,Começo!A:D,3,0)</f>
        <v>IoT</v>
      </c>
      <c r="D25" s="199"/>
      <c r="E25" s="199"/>
      <c r="F25" s="199"/>
      <c r="G25" s="194">
        <f>IFERROR(COUNTIF(Tabela19[#This Row],"sim"),"")*Começo!D27+SUM(Tabela19[#This Row])</f>
        <v>0</v>
      </c>
      <c r="H25" s="194"/>
      <c r="I25" s="194"/>
      <c r="J25" s="194"/>
      <c r="K25" s="158" t="s">
        <v>92</v>
      </c>
      <c r="L25" s="158" t="s">
        <v>92</v>
      </c>
      <c r="M25" s="158" t="s">
        <v>92</v>
      </c>
      <c r="N25" s="158" t="s">
        <v>92</v>
      </c>
      <c r="O25" s="158" t="s">
        <v>92</v>
      </c>
      <c r="P25" s="158" t="s">
        <v>92</v>
      </c>
      <c r="Q25" s="158" t="s">
        <v>92</v>
      </c>
      <c r="R25" s="158" t="s">
        <v>92</v>
      </c>
      <c r="S25" s="158" t="s">
        <v>92</v>
      </c>
      <c r="T25" s="158" t="s">
        <v>92</v>
      </c>
      <c r="U25" s="158" t="s">
        <v>92</v>
      </c>
      <c r="V25" s="158" t="s">
        <v>92</v>
      </c>
      <c r="W25" s="158" t="s">
        <v>92</v>
      </c>
      <c r="X25" s="158" t="s">
        <v>92</v>
      </c>
      <c r="Y25" s="158" t="s">
        <v>92</v>
      </c>
      <c r="Z25" s="158" t="s">
        <v>92</v>
      </c>
      <c r="AA25" s="158" t="s">
        <v>92</v>
      </c>
      <c r="AB25" s="158" t="s">
        <v>92</v>
      </c>
      <c r="AC25" s="158" t="s">
        <v>92</v>
      </c>
      <c r="AD25" s="158" t="s">
        <v>92</v>
      </c>
      <c r="AE25" s="158" t="s">
        <v>92</v>
      </c>
      <c r="AF25" s="158" t="s">
        <v>92</v>
      </c>
      <c r="AG25" s="158" t="s">
        <v>92</v>
      </c>
      <c r="AH25" s="158" t="s">
        <v>92</v>
      </c>
      <c r="AI25" s="158" t="s">
        <v>92</v>
      </c>
      <c r="AJ25" s="158" t="s">
        <v>92</v>
      </c>
      <c r="AK25" s="158" t="s">
        <v>92</v>
      </c>
      <c r="AL25" s="158" t="s">
        <v>92</v>
      </c>
      <c r="AM25" s="158" t="s">
        <v>92</v>
      </c>
      <c r="AN25" s="158" t="s">
        <v>92</v>
      </c>
      <c r="AO25" s="158" t="s">
        <v>92</v>
      </c>
    </row>
    <row r="26" spans="1:41" ht="26.1" customHeight="1" thickBot="1" x14ac:dyDescent="0.3">
      <c r="A26" s="1" t="s">
        <v>89</v>
      </c>
      <c r="B26" s="17">
        <v>15</v>
      </c>
      <c r="C26" s="199" t="str">
        <f>VLOOKUP(B26,Começo!A:D,3,0)</f>
        <v>Astrologia</v>
      </c>
      <c r="D26" s="199"/>
      <c r="E26" s="199"/>
      <c r="F26" s="199"/>
      <c r="G26" s="194">
        <f>IFERROR(COUNTIF(Tabela19[#This Row],"sim"),"")*Começo!D28+SUM(Tabela19[#This Row])</f>
        <v>0</v>
      </c>
      <c r="H26" s="194"/>
      <c r="I26" s="194"/>
      <c r="J26" s="194"/>
      <c r="K26" s="158" t="s">
        <v>92</v>
      </c>
      <c r="L26" s="158" t="s">
        <v>92</v>
      </c>
      <c r="M26" s="158" t="s">
        <v>92</v>
      </c>
      <c r="N26" s="158" t="s">
        <v>92</v>
      </c>
      <c r="O26" s="158" t="s">
        <v>92</v>
      </c>
      <c r="P26" s="158" t="s">
        <v>92</v>
      </c>
      <c r="Q26" s="158" t="s">
        <v>92</v>
      </c>
      <c r="R26" s="158" t="s">
        <v>92</v>
      </c>
      <c r="S26" s="158" t="s">
        <v>92</v>
      </c>
      <c r="T26" s="158" t="s">
        <v>92</v>
      </c>
      <c r="U26" s="158" t="s">
        <v>92</v>
      </c>
      <c r="V26" s="158" t="s">
        <v>92</v>
      </c>
      <c r="W26" s="158" t="s">
        <v>92</v>
      </c>
      <c r="X26" s="158" t="s">
        <v>92</v>
      </c>
      <c r="Y26" s="158" t="s">
        <v>92</v>
      </c>
      <c r="Z26" s="158" t="s">
        <v>92</v>
      </c>
      <c r="AA26" s="158" t="s">
        <v>92</v>
      </c>
      <c r="AB26" s="158" t="s">
        <v>92</v>
      </c>
      <c r="AC26" s="158" t="s">
        <v>92</v>
      </c>
      <c r="AD26" s="158" t="s">
        <v>92</v>
      </c>
      <c r="AE26" s="158" t="s">
        <v>92</v>
      </c>
      <c r="AF26" s="158" t="s">
        <v>92</v>
      </c>
      <c r="AG26" s="158" t="s">
        <v>92</v>
      </c>
      <c r="AH26" s="158" t="s">
        <v>92</v>
      </c>
      <c r="AI26" s="158" t="s">
        <v>92</v>
      </c>
      <c r="AJ26" s="158" t="s">
        <v>92</v>
      </c>
      <c r="AK26" s="158" t="s">
        <v>92</v>
      </c>
      <c r="AL26" s="158" t="s">
        <v>92</v>
      </c>
      <c r="AM26" s="158" t="s">
        <v>92</v>
      </c>
      <c r="AN26" s="158" t="s">
        <v>92</v>
      </c>
      <c r="AO26" s="158" t="s">
        <v>92</v>
      </c>
    </row>
    <row r="27" spans="1:41" ht="26.1" customHeight="1" thickBot="1" x14ac:dyDescent="0.3">
      <c r="A27" s="1" t="s">
        <v>89</v>
      </c>
      <c r="B27" s="17">
        <v>16</v>
      </c>
      <c r="C27" s="199" t="str">
        <f>VLOOKUP(B27,Começo!A:D,3,0)</f>
        <v>Colorimetria</v>
      </c>
      <c r="D27" s="199"/>
      <c r="E27" s="199"/>
      <c r="F27" s="199"/>
      <c r="G27" s="194">
        <f>IFERROR(COUNTIF(Tabela19[#This Row],"sim"),"")*Começo!D29+SUM(Tabela19[#This Row])</f>
        <v>0</v>
      </c>
      <c r="H27" s="194"/>
      <c r="I27" s="194"/>
      <c r="J27" s="194"/>
      <c r="K27" s="158" t="s">
        <v>92</v>
      </c>
      <c r="L27" s="158" t="s">
        <v>92</v>
      </c>
      <c r="M27" s="158" t="s">
        <v>92</v>
      </c>
      <c r="N27" s="158" t="s">
        <v>92</v>
      </c>
      <c r="O27" s="158" t="s">
        <v>92</v>
      </c>
      <c r="P27" s="158" t="s">
        <v>92</v>
      </c>
      <c r="Q27" s="158" t="s">
        <v>92</v>
      </c>
      <c r="R27" s="158" t="s">
        <v>92</v>
      </c>
      <c r="S27" s="158" t="s">
        <v>92</v>
      </c>
      <c r="T27" s="158" t="s">
        <v>92</v>
      </c>
      <c r="U27" s="158" t="s">
        <v>92</v>
      </c>
      <c r="V27" s="158" t="s">
        <v>92</v>
      </c>
      <c r="W27" s="158" t="s">
        <v>92</v>
      </c>
      <c r="X27" s="158" t="s">
        <v>92</v>
      </c>
      <c r="Y27" s="158" t="s">
        <v>92</v>
      </c>
      <c r="Z27" s="158" t="s">
        <v>92</v>
      </c>
      <c r="AA27" s="158" t="s">
        <v>92</v>
      </c>
      <c r="AB27" s="158" t="s">
        <v>92</v>
      </c>
      <c r="AC27" s="158" t="s">
        <v>92</v>
      </c>
      <c r="AD27" s="158" t="s">
        <v>92</v>
      </c>
      <c r="AE27" s="158" t="s">
        <v>92</v>
      </c>
      <c r="AF27" s="158" t="s">
        <v>92</v>
      </c>
      <c r="AG27" s="158" t="s">
        <v>92</v>
      </c>
      <c r="AH27" s="158" t="s">
        <v>92</v>
      </c>
      <c r="AI27" s="158" t="s">
        <v>92</v>
      </c>
      <c r="AJ27" s="158" t="s">
        <v>92</v>
      </c>
      <c r="AK27" s="158" t="s">
        <v>92</v>
      </c>
      <c r="AL27" s="158" t="s">
        <v>92</v>
      </c>
      <c r="AM27" s="158" t="s">
        <v>92</v>
      </c>
      <c r="AN27" s="158" t="s">
        <v>92</v>
      </c>
      <c r="AO27" s="158" t="s">
        <v>92</v>
      </c>
    </row>
    <row r="28" spans="1:41" ht="16.5" x14ac:dyDescent="0.25">
      <c r="K28" s="159">
        <f>SUBTOTAL(109,Tabela19[1-ago])</f>
        <v>0</v>
      </c>
      <c r="L28" s="159">
        <f>SUBTOTAL(109,Tabela19[2-ago])</f>
        <v>0</v>
      </c>
      <c r="M28" s="159">
        <f>SUBTOTAL(109,Tabela19[3-ago])</f>
        <v>0</v>
      </c>
      <c r="N28" s="159">
        <f>SUBTOTAL(109,Tabela19[4-ago])</f>
        <v>0</v>
      </c>
      <c r="O28" s="159">
        <f>SUBTOTAL(109,Tabela19[5-ago])</f>
        <v>0</v>
      </c>
      <c r="P28" s="159">
        <f>SUBTOTAL(109,Tabela19[6-ago])</f>
        <v>0</v>
      </c>
      <c r="Q28" s="159">
        <f>SUBTOTAL(109,Tabela19[7-ago])</f>
        <v>0</v>
      </c>
      <c r="R28" s="159">
        <f>SUBTOTAL(109,Tabela19[8-ago])</f>
        <v>0</v>
      </c>
      <c r="S28" s="159">
        <f>SUBTOTAL(109,Tabela19[9-ago])</f>
        <v>0</v>
      </c>
      <c r="T28" s="159">
        <f>SUBTOTAL(109,Tabela19[10-ago])</f>
        <v>0</v>
      </c>
      <c r="U28" s="159">
        <f>SUBTOTAL(109,Tabela19[11-ago])</f>
        <v>0</v>
      </c>
      <c r="V28" s="159">
        <f>SUBTOTAL(109,Tabela19[12-ago])</f>
        <v>0</v>
      </c>
      <c r="W28" s="159">
        <f>SUBTOTAL(109,Tabela19[13-ago])</f>
        <v>0</v>
      </c>
      <c r="X28" s="159">
        <f>SUBTOTAL(109,Tabela19[14-ago])</f>
        <v>0</v>
      </c>
      <c r="Y28" s="159">
        <f>SUBTOTAL(109,Tabela19[15-ago])</f>
        <v>0</v>
      </c>
      <c r="Z28" s="159">
        <f>SUBTOTAL(109,Tabela19[16-ago])</f>
        <v>0</v>
      </c>
      <c r="AA28" s="159">
        <f>SUBTOTAL(109,Tabela19[17-ago])</f>
        <v>0</v>
      </c>
      <c r="AB28" s="159">
        <f>SUBTOTAL(109,Tabela19[18-ago])</f>
        <v>0</v>
      </c>
      <c r="AC28" s="159">
        <f>SUBTOTAL(109,Tabela19[19-ago])</f>
        <v>0</v>
      </c>
      <c r="AD28" s="159">
        <f>SUBTOTAL(109,Tabela19[20-ago])</f>
        <v>0</v>
      </c>
      <c r="AE28" s="159">
        <f>SUBTOTAL(109,Tabela19[21-ago])</f>
        <v>0</v>
      </c>
      <c r="AF28" s="159">
        <f>SUBTOTAL(109,Tabela19[22-ago])</f>
        <v>0</v>
      </c>
      <c r="AG28" s="159">
        <f>SUBTOTAL(109,Tabela19[23-ago])</f>
        <v>0</v>
      </c>
      <c r="AH28" s="159">
        <f>SUBTOTAL(109,Tabela19[24-ago])</f>
        <v>0</v>
      </c>
      <c r="AI28" s="159">
        <f>SUBTOTAL(109,Tabela19[25-ago])</f>
        <v>0</v>
      </c>
      <c r="AJ28" s="159">
        <f>SUBTOTAL(109,Tabela19[26-ago])</f>
        <v>0</v>
      </c>
      <c r="AK28" s="159">
        <f>SUBTOTAL(109,Tabela19[27-ago])</f>
        <v>0</v>
      </c>
      <c r="AL28" s="159">
        <f>SUBTOTAL(109,Tabela19[28-ago])</f>
        <v>0</v>
      </c>
      <c r="AM28" s="159">
        <f>SUBTOTAL(109,Tabela19[29-ago])</f>
        <v>0</v>
      </c>
      <c r="AN28" s="159">
        <f>SUBTOTAL(109,Tabela19[30-ago])</f>
        <v>0</v>
      </c>
      <c r="AO28" s="159">
        <f>SUBTOTAL(109,Tabela19[31-ago])</f>
        <v>0</v>
      </c>
    </row>
    <row r="30" spans="1:41" x14ac:dyDescent="0.25">
      <c r="B30" s="188"/>
      <c r="C30" s="188"/>
    </row>
    <row r="31" spans="1:41" x14ac:dyDescent="0.25">
      <c r="B31" s="188"/>
      <c r="C31" s="188"/>
    </row>
  </sheetData>
  <sheetProtection algorithmName="SHA-512" hashValue="+N7dyV4Aihx9ZD74lc5moivKy9yPX+mSACL4Kd7QiL0zW7p4WtZ6mHK59R50pXkuujKZWVIutNXRj91lL+BQug==" saltValue="b57yPtCgNn09XQBr3xP7rQ==" spinCount="100000" sheet="1" objects="1" scenarios="1"/>
  <mergeCells count="49">
    <mergeCell ref="C26:F26"/>
    <mergeCell ref="G26:J26"/>
    <mergeCell ref="C27:F27"/>
    <mergeCell ref="G27:J27"/>
    <mergeCell ref="C23:F23"/>
    <mergeCell ref="G23:J23"/>
    <mergeCell ref="C24:F24"/>
    <mergeCell ref="G24:J24"/>
    <mergeCell ref="C25:F25"/>
    <mergeCell ref="G25:J25"/>
    <mergeCell ref="C20:F20"/>
    <mergeCell ref="G20:J20"/>
    <mergeCell ref="C21:F21"/>
    <mergeCell ref="G21:J21"/>
    <mergeCell ref="C22:F22"/>
    <mergeCell ref="G22:J22"/>
    <mergeCell ref="C17:F17"/>
    <mergeCell ref="G17:J17"/>
    <mergeCell ref="C18:F18"/>
    <mergeCell ref="G18:J18"/>
    <mergeCell ref="C19:F19"/>
    <mergeCell ref="G19:J19"/>
    <mergeCell ref="C14:F14"/>
    <mergeCell ref="G14:J14"/>
    <mergeCell ref="C15:F15"/>
    <mergeCell ref="G15:J15"/>
    <mergeCell ref="C16:F16"/>
    <mergeCell ref="G16:J16"/>
    <mergeCell ref="H8:H9"/>
    <mergeCell ref="I8:I9"/>
    <mergeCell ref="J8:J9"/>
    <mergeCell ref="C13:F13"/>
    <mergeCell ref="G13:J13"/>
    <mergeCell ref="B30:C31"/>
    <mergeCell ref="K8:K9"/>
    <mergeCell ref="L8:L9"/>
    <mergeCell ref="M8:M9"/>
    <mergeCell ref="O7:Q7"/>
    <mergeCell ref="O8:Q9"/>
    <mergeCell ref="B11:F11"/>
    <mergeCell ref="G11:J11"/>
    <mergeCell ref="C12:F12"/>
    <mergeCell ref="G12:J12"/>
    <mergeCell ref="B8:B9"/>
    <mergeCell ref="C8:C9"/>
    <mergeCell ref="D8:D9"/>
    <mergeCell ref="E8:E9"/>
    <mergeCell ref="F8:F9"/>
    <mergeCell ref="G8:G9"/>
  </mergeCells>
  <conditionalFormatting sqref="K12:AO27">
    <cfRule type="containsText" dxfId="71" priority="3" operator="containsText" text="não">
      <formula>NOT(ISERROR(SEARCH("não",K12)))</formula>
    </cfRule>
    <cfRule type="containsText" dxfId="70" priority="4" operator="containsText" text="sim">
      <formula>NOT(ISERROR(SEARCH("sim",K12)))</formula>
    </cfRule>
  </conditionalFormatting>
  <conditionalFormatting sqref="G12:J2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{E5EC6882-7742-4B52-ACDA-DD917837B277}</x14:id>
        </ext>
      </extLst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{0E9869CC-E360-437A-8E69-EAB9A83E9724}</x14:id>
        </ext>
      </extLst>
    </cfRule>
  </conditionalFormatting>
  <dataValidations count="1">
    <dataValidation type="list" allowBlank="1" showInputMessage="1" showErrorMessage="1" sqref="K12:AO27" xr:uid="{00000000-0002-0000-1B00-000000000000}">
      <formula1>"Sim,Não,00:30,01:00,01:30,02:00,02:30,03:00,03:30,04:00"</formula1>
    </dataValidation>
  </dataValidations>
  <hyperlinks>
    <hyperlink ref="B8" location="Desempenho!A1" display="janeiro" xr:uid="{00000000-0004-0000-1B00-000000000000}"/>
    <hyperlink ref="C8" location="fev!A1" display="Fevereiro" xr:uid="{00000000-0004-0000-1B00-000001000000}"/>
    <hyperlink ref="D8" location="mar!A1" display="Março" xr:uid="{00000000-0004-0000-1B00-000002000000}"/>
    <hyperlink ref="E8" location="abr!A1" display="Abril" xr:uid="{00000000-0004-0000-1B00-000003000000}"/>
    <hyperlink ref="F8" location="maio!A1" display="Maio" xr:uid="{00000000-0004-0000-1B00-000004000000}"/>
    <hyperlink ref="G8" location="jun!A1" display="Junho" xr:uid="{00000000-0004-0000-1B00-000005000000}"/>
    <hyperlink ref="H8" location="jul!A1" display="Julho" xr:uid="{00000000-0004-0000-1B00-000006000000}"/>
    <hyperlink ref="I8" location="ago!A1" display="Agosto" xr:uid="{00000000-0004-0000-1B00-000007000000}"/>
    <hyperlink ref="J8" location="set!A1" display="Setembro" xr:uid="{00000000-0004-0000-1B00-000008000000}"/>
    <hyperlink ref="K8" location="out!A1" display="Outubro" xr:uid="{00000000-0004-0000-1B00-000009000000}"/>
    <hyperlink ref="L8" location="nov!A1" display="Novembro" xr:uid="{00000000-0004-0000-1B00-00000A000000}"/>
    <hyperlink ref="M8" location="dez!A1" display="Dezembro" xr:uid="{00000000-0004-0000-1B00-00000B000000}"/>
  </hyperlink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EC6882-7742-4B52-ACDA-DD917837B277}">
            <x14:dataBar minLength="0" maxLength="100" gradient="0">
              <x14:cfvo type="autoMin"/>
              <x14:cfvo type="autoMax"/>
              <x14:negativeFillColor rgb="FFFF0000"/>
              <x14:axisColor theme="0"/>
            </x14:dataBar>
          </x14:cfRule>
          <x14:cfRule type="dataBar" id="{0E9869CC-E360-437A-8E69-EAB9A83E97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G12:J27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ilha29"/>
  <dimension ref="A1:AN31"/>
  <sheetViews>
    <sheetView showGridLines="0" workbookViewId="0">
      <pane ySplit="4" topLeftCell="A5" activePane="bottomLeft" state="frozen"/>
      <selection activeCell="A5" sqref="A5"/>
      <selection pane="bottomLeft" activeCell="K8" sqref="K8:K9"/>
    </sheetView>
  </sheetViews>
  <sheetFormatPr defaultRowHeight="15" x14ac:dyDescent="0.25"/>
  <cols>
    <col min="1" max="1" width="3.85546875" style="27" customWidth="1"/>
    <col min="2" max="2" width="8.140625" style="27" bestFit="1" customWidth="1"/>
    <col min="3" max="3" width="10.5703125" style="27" bestFit="1" customWidth="1"/>
    <col min="4" max="4" width="7.5703125" style="27" bestFit="1" customWidth="1"/>
    <col min="5" max="5" width="6.140625" style="27" bestFit="1" customWidth="1"/>
    <col min="6" max="6" width="6.28515625" style="27" bestFit="1" customWidth="1"/>
    <col min="7" max="7" width="7.42578125" style="27" bestFit="1" customWidth="1"/>
    <col min="8" max="8" width="6.7109375" style="27" bestFit="1" customWidth="1"/>
    <col min="9" max="9" width="8.5703125" style="27" bestFit="1" customWidth="1"/>
    <col min="10" max="10" width="11" style="27" bestFit="1" customWidth="1"/>
    <col min="11" max="11" width="9.7109375" style="27" bestFit="1" customWidth="1"/>
    <col min="12" max="12" width="12" style="27" bestFit="1" customWidth="1"/>
    <col min="13" max="13" width="11.5703125" style="27" bestFit="1" customWidth="1"/>
    <col min="14" max="16384" width="9.140625" style="27"/>
  </cols>
  <sheetData>
    <row r="1" spans="1:40" s="38" customFormat="1" x14ac:dyDescent="0.25"/>
    <row r="2" spans="1:40" s="38" customFormat="1" x14ac:dyDescent="0.25"/>
    <row r="3" spans="1:40" s="38" customFormat="1" x14ac:dyDescent="0.25"/>
    <row r="4" spans="1:40" s="38" customFormat="1" x14ac:dyDescent="0.25"/>
    <row r="5" spans="1:40" s="63" customFormat="1" ht="3.95" customHeight="1" x14ac:dyDescent="0.25"/>
    <row r="6" spans="1:40" ht="15" customHeight="1" x14ac:dyDescent="0.25"/>
    <row r="7" spans="1:40" ht="15" customHeight="1" thickBot="1" x14ac:dyDescent="0.3">
      <c r="O7" s="246" t="s">
        <v>36</v>
      </c>
      <c r="P7" s="246"/>
      <c r="Q7" s="246"/>
    </row>
    <row r="8" spans="1:40" ht="15" customHeight="1" x14ac:dyDescent="0.25">
      <c r="A8" s="31"/>
      <c r="B8" s="250" t="s">
        <v>133</v>
      </c>
      <c r="C8" s="248" t="s">
        <v>25</v>
      </c>
      <c r="D8" s="248" t="s">
        <v>26</v>
      </c>
      <c r="E8" s="248" t="s">
        <v>27</v>
      </c>
      <c r="F8" s="248" t="s">
        <v>28</v>
      </c>
      <c r="G8" s="248" t="s">
        <v>29</v>
      </c>
      <c r="H8" s="248" t="s">
        <v>30</v>
      </c>
      <c r="I8" s="248" t="s">
        <v>31</v>
      </c>
      <c r="J8" s="248" t="s">
        <v>32</v>
      </c>
      <c r="K8" s="248" t="s">
        <v>33</v>
      </c>
      <c r="L8" s="248" t="s">
        <v>34</v>
      </c>
      <c r="M8" s="248" t="s">
        <v>35</v>
      </c>
      <c r="N8" s="49"/>
      <c r="O8" s="196">
        <f>SUM(G12:J27)</f>
        <v>0</v>
      </c>
      <c r="P8" s="196"/>
      <c r="Q8" s="196"/>
    </row>
    <row r="9" spans="1:40" ht="15" customHeight="1" x14ac:dyDescent="0.25">
      <c r="A9" s="31"/>
      <c r="B9" s="249"/>
      <c r="C9" s="249"/>
      <c r="D9" s="249"/>
      <c r="E9" s="249"/>
      <c r="F9" s="249"/>
      <c r="G9" s="249"/>
      <c r="H9" s="249"/>
      <c r="I9" s="249"/>
      <c r="J9" s="249"/>
      <c r="K9" s="249"/>
      <c r="L9" s="249"/>
      <c r="M9" s="249"/>
      <c r="N9" s="50"/>
      <c r="O9" s="196"/>
      <c r="P9" s="196"/>
      <c r="Q9" s="196"/>
    </row>
    <row r="10" spans="1:40" ht="15" customHeight="1" x14ac:dyDescent="0.25">
      <c r="A10" s="18"/>
      <c r="B10" s="18"/>
      <c r="C10" s="18"/>
      <c r="D10" s="18"/>
      <c r="E10" s="18"/>
      <c r="F10" s="18"/>
      <c r="G10" s="18"/>
      <c r="H10" s="18"/>
      <c r="I10" s="18"/>
      <c r="J10" s="18"/>
      <c r="O10" s="32"/>
      <c r="P10" s="32"/>
      <c r="Q10" s="32"/>
    </row>
    <row r="11" spans="1:40" ht="20.25" x14ac:dyDescent="0.25">
      <c r="A11" s="19"/>
      <c r="B11" s="198" t="s">
        <v>134</v>
      </c>
      <c r="C11" s="198"/>
      <c r="D11" s="198"/>
      <c r="E11" s="198"/>
      <c r="F11" s="198"/>
      <c r="G11" s="195" t="s">
        <v>37</v>
      </c>
      <c r="H11" s="195"/>
      <c r="I11" s="195"/>
      <c r="J11" s="195"/>
      <c r="K11" s="21" t="s">
        <v>355</v>
      </c>
      <c r="L11" s="21" t="s">
        <v>356</v>
      </c>
      <c r="M11" s="21" t="s">
        <v>357</v>
      </c>
      <c r="N11" s="21" t="s">
        <v>358</v>
      </c>
      <c r="O11" s="21" t="s">
        <v>359</v>
      </c>
      <c r="P11" s="21" t="s">
        <v>360</v>
      </c>
      <c r="Q11" s="21" t="s">
        <v>361</v>
      </c>
      <c r="R11" s="21" t="s">
        <v>362</v>
      </c>
      <c r="S11" s="21" t="s">
        <v>363</v>
      </c>
      <c r="T11" s="21" t="s">
        <v>364</v>
      </c>
      <c r="U11" s="21" t="s">
        <v>365</v>
      </c>
      <c r="V11" s="21" t="s">
        <v>366</v>
      </c>
      <c r="W11" s="21" t="s">
        <v>367</v>
      </c>
      <c r="X11" s="21" t="s">
        <v>368</v>
      </c>
      <c r="Y11" s="21" t="s">
        <v>369</v>
      </c>
      <c r="Z11" s="21" t="s">
        <v>370</v>
      </c>
      <c r="AA11" s="21" t="s">
        <v>371</v>
      </c>
      <c r="AB11" s="21" t="s">
        <v>372</v>
      </c>
      <c r="AC11" s="21" t="s">
        <v>373</v>
      </c>
      <c r="AD11" s="21" t="s">
        <v>374</v>
      </c>
      <c r="AE11" s="21" t="s">
        <v>375</v>
      </c>
      <c r="AF11" s="21" t="s">
        <v>376</v>
      </c>
      <c r="AG11" s="21" t="s">
        <v>377</v>
      </c>
      <c r="AH11" s="21" t="s">
        <v>378</v>
      </c>
      <c r="AI11" s="21" t="s">
        <v>379</v>
      </c>
      <c r="AJ11" s="21" t="s">
        <v>380</v>
      </c>
      <c r="AK11" s="21" t="s">
        <v>381</v>
      </c>
      <c r="AL11" s="21" t="s">
        <v>382</v>
      </c>
      <c r="AM11" s="21" t="s">
        <v>383</v>
      </c>
      <c r="AN11" s="21" t="s">
        <v>384</v>
      </c>
    </row>
    <row r="12" spans="1:40" ht="26.1" customHeight="1" thickBot="1" x14ac:dyDescent="0.3">
      <c r="A12" s="1" t="s">
        <v>89</v>
      </c>
      <c r="B12" s="16">
        <v>1</v>
      </c>
      <c r="C12" s="199" t="str">
        <f>VLOOKUP(B12,Começo!A:D,3,0)</f>
        <v>Português</v>
      </c>
      <c r="D12" s="199"/>
      <c r="E12" s="199"/>
      <c r="F12" s="199"/>
      <c r="G12" s="194">
        <f>IFERROR(COUNTIF(Tabela110[#This Row],"sim"),"")*Começo!D14+SUM(Tabela110[#This Row])</f>
        <v>0</v>
      </c>
      <c r="H12" s="194"/>
      <c r="I12" s="194"/>
      <c r="J12" s="194"/>
      <c r="K12" s="158" t="s">
        <v>92</v>
      </c>
      <c r="L12" s="158" t="s">
        <v>92</v>
      </c>
      <c r="M12" s="158" t="s">
        <v>92</v>
      </c>
      <c r="N12" s="158" t="s">
        <v>92</v>
      </c>
      <c r="O12" s="158" t="s">
        <v>92</v>
      </c>
      <c r="P12" s="158" t="s">
        <v>92</v>
      </c>
      <c r="Q12" s="158" t="s">
        <v>92</v>
      </c>
      <c r="R12" s="158" t="s">
        <v>92</v>
      </c>
      <c r="S12" s="158" t="s">
        <v>92</v>
      </c>
      <c r="T12" s="158" t="s">
        <v>92</v>
      </c>
      <c r="U12" s="158" t="s">
        <v>92</v>
      </c>
      <c r="V12" s="158" t="s">
        <v>92</v>
      </c>
      <c r="W12" s="158" t="s">
        <v>92</v>
      </c>
      <c r="X12" s="158" t="s">
        <v>92</v>
      </c>
      <c r="Y12" s="158" t="s">
        <v>92</v>
      </c>
      <c r="Z12" s="158" t="s">
        <v>92</v>
      </c>
      <c r="AA12" s="158" t="s">
        <v>92</v>
      </c>
      <c r="AB12" s="158" t="s">
        <v>92</v>
      </c>
      <c r="AC12" s="158" t="s">
        <v>92</v>
      </c>
      <c r="AD12" s="158" t="s">
        <v>92</v>
      </c>
      <c r="AE12" s="158" t="s">
        <v>92</v>
      </c>
      <c r="AF12" s="158" t="s">
        <v>92</v>
      </c>
      <c r="AG12" s="158" t="s">
        <v>92</v>
      </c>
      <c r="AH12" s="158" t="s">
        <v>92</v>
      </c>
      <c r="AI12" s="158" t="s">
        <v>92</v>
      </c>
      <c r="AJ12" s="158" t="s">
        <v>92</v>
      </c>
      <c r="AK12" s="158" t="s">
        <v>92</v>
      </c>
      <c r="AL12" s="158" t="s">
        <v>92</v>
      </c>
      <c r="AM12" s="158" t="s">
        <v>92</v>
      </c>
      <c r="AN12" s="158" t="s">
        <v>92</v>
      </c>
    </row>
    <row r="13" spans="1:40" ht="26.1" customHeight="1" thickBot="1" x14ac:dyDescent="0.3">
      <c r="A13" s="1" t="s">
        <v>89</v>
      </c>
      <c r="B13" s="17">
        <v>2</v>
      </c>
      <c r="C13" s="199" t="str">
        <f>VLOOKUP(B13,Começo!A:D,3,0)</f>
        <v>Matemática</v>
      </c>
      <c r="D13" s="199"/>
      <c r="E13" s="199"/>
      <c r="F13" s="199"/>
      <c r="G13" s="194">
        <f>IFERROR(COUNTIF(Tabela110[#This Row],"sim"),"")*Começo!D15+SUM(Tabela110[#This Row])</f>
        <v>0</v>
      </c>
      <c r="H13" s="194"/>
      <c r="I13" s="194"/>
      <c r="J13" s="194"/>
      <c r="K13" s="158" t="s">
        <v>92</v>
      </c>
      <c r="L13" s="158" t="s">
        <v>92</v>
      </c>
      <c r="M13" s="158" t="s">
        <v>92</v>
      </c>
      <c r="N13" s="158" t="s">
        <v>92</v>
      </c>
      <c r="O13" s="158" t="s">
        <v>92</v>
      </c>
      <c r="P13" s="158" t="s">
        <v>92</v>
      </c>
      <c r="Q13" s="158" t="s">
        <v>92</v>
      </c>
      <c r="R13" s="158" t="s">
        <v>92</v>
      </c>
      <c r="S13" s="158" t="s">
        <v>92</v>
      </c>
      <c r="T13" s="158" t="s">
        <v>92</v>
      </c>
      <c r="U13" s="158" t="s">
        <v>92</v>
      </c>
      <c r="V13" s="158" t="s">
        <v>92</v>
      </c>
      <c r="W13" s="158" t="s">
        <v>92</v>
      </c>
      <c r="X13" s="158" t="s">
        <v>92</v>
      </c>
      <c r="Y13" s="158" t="s">
        <v>92</v>
      </c>
      <c r="Z13" s="158" t="s">
        <v>92</v>
      </c>
      <c r="AA13" s="158" t="s">
        <v>92</v>
      </c>
      <c r="AB13" s="158" t="s">
        <v>92</v>
      </c>
      <c r="AC13" s="158" t="s">
        <v>92</v>
      </c>
      <c r="AD13" s="158" t="s">
        <v>92</v>
      </c>
      <c r="AE13" s="158" t="s">
        <v>92</v>
      </c>
      <c r="AF13" s="158" t="s">
        <v>92</v>
      </c>
      <c r="AG13" s="158" t="s">
        <v>92</v>
      </c>
      <c r="AH13" s="158" t="s">
        <v>92</v>
      </c>
      <c r="AI13" s="158" t="s">
        <v>92</v>
      </c>
      <c r="AJ13" s="158" t="s">
        <v>92</v>
      </c>
      <c r="AK13" s="158" t="s">
        <v>92</v>
      </c>
      <c r="AL13" s="158" t="s">
        <v>92</v>
      </c>
      <c r="AM13" s="158" t="s">
        <v>92</v>
      </c>
      <c r="AN13" s="158" t="s">
        <v>92</v>
      </c>
    </row>
    <row r="14" spans="1:40" ht="26.1" customHeight="1" thickBot="1" x14ac:dyDescent="0.3">
      <c r="A14" s="1" t="s">
        <v>89</v>
      </c>
      <c r="B14" s="17">
        <v>3</v>
      </c>
      <c r="C14" s="199" t="str">
        <f>VLOOKUP(B14,Começo!A:D,3,0)</f>
        <v>História</v>
      </c>
      <c r="D14" s="199"/>
      <c r="E14" s="199"/>
      <c r="F14" s="199"/>
      <c r="G14" s="194">
        <f>IFERROR(COUNTIF(Tabela110[#This Row],"sim"),"")*Começo!D16+SUM(Tabela110[#This Row])</f>
        <v>0</v>
      </c>
      <c r="H14" s="194"/>
      <c r="I14" s="194"/>
      <c r="J14" s="194"/>
      <c r="K14" s="158" t="s">
        <v>92</v>
      </c>
      <c r="L14" s="158" t="s">
        <v>92</v>
      </c>
      <c r="M14" s="158" t="s">
        <v>92</v>
      </c>
      <c r="N14" s="158" t="s">
        <v>92</v>
      </c>
      <c r="O14" s="158" t="s">
        <v>92</v>
      </c>
      <c r="P14" s="158" t="s">
        <v>92</v>
      </c>
      <c r="Q14" s="158" t="s">
        <v>92</v>
      </c>
      <c r="R14" s="158" t="s">
        <v>92</v>
      </c>
      <c r="S14" s="158" t="s">
        <v>92</v>
      </c>
      <c r="T14" s="158" t="s">
        <v>92</v>
      </c>
      <c r="U14" s="158" t="s">
        <v>92</v>
      </c>
      <c r="V14" s="158" t="s">
        <v>92</v>
      </c>
      <c r="W14" s="158" t="s">
        <v>92</v>
      </c>
      <c r="X14" s="158" t="s">
        <v>92</v>
      </c>
      <c r="Y14" s="158" t="s">
        <v>92</v>
      </c>
      <c r="Z14" s="158" t="s">
        <v>92</v>
      </c>
      <c r="AA14" s="158" t="s">
        <v>92</v>
      </c>
      <c r="AB14" s="158" t="s">
        <v>92</v>
      </c>
      <c r="AC14" s="158" t="s">
        <v>92</v>
      </c>
      <c r="AD14" s="158" t="s">
        <v>92</v>
      </c>
      <c r="AE14" s="158" t="s">
        <v>92</v>
      </c>
      <c r="AF14" s="158" t="s">
        <v>92</v>
      </c>
      <c r="AG14" s="158" t="s">
        <v>92</v>
      </c>
      <c r="AH14" s="158" t="s">
        <v>92</v>
      </c>
      <c r="AI14" s="158" t="s">
        <v>92</v>
      </c>
      <c r="AJ14" s="158" t="s">
        <v>92</v>
      </c>
      <c r="AK14" s="158" t="s">
        <v>92</v>
      </c>
      <c r="AL14" s="158" t="s">
        <v>92</v>
      </c>
      <c r="AM14" s="158" t="s">
        <v>92</v>
      </c>
      <c r="AN14" s="158" t="s">
        <v>92</v>
      </c>
    </row>
    <row r="15" spans="1:40" ht="26.1" customHeight="1" thickBot="1" x14ac:dyDescent="0.3">
      <c r="A15" s="1" t="s">
        <v>89</v>
      </c>
      <c r="B15" s="17">
        <v>4</v>
      </c>
      <c r="C15" s="199" t="str">
        <f>VLOOKUP(B15,Começo!A:D,3,0)</f>
        <v>Física</v>
      </c>
      <c r="D15" s="199"/>
      <c r="E15" s="199"/>
      <c r="F15" s="199"/>
      <c r="G15" s="194">
        <f>IFERROR(COUNTIF(Tabela110[#This Row],"sim"),"")*Começo!D17+SUM(Tabela110[#This Row])</f>
        <v>0</v>
      </c>
      <c r="H15" s="194"/>
      <c r="I15" s="194"/>
      <c r="J15" s="194"/>
      <c r="K15" s="158" t="s">
        <v>92</v>
      </c>
      <c r="L15" s="158" t="s">
        <v>92</v>
      </c>
      <c r="M15" s="158" t="s">
        <v>92</v>
      </c>
      <c r="N15" s="158" t="s">
        <v>92</v>
      </c>
      <c r="O15" s="158" t="s">
        <v>92</v>
      </c>
      <c r="P15" s="158" t="s">
        <v>92</v>
      </c>
      <c r="Q15" s="158" t="s">
        <v>92</v>
      </c>
      <c r="R15" s="158" t="s">
        <v>92</v>
      </c>
      <c r="S15" s="158" t="s">
        <v>92</v>
      </c>
      <c r="T15" s="158" t="s">
        <v>92</v>
      </c>
      <c r="U15" s="158" t="s">
        <v>92</v>
      </c>
      <c r="V15" s="158" t="s">
        <v>92</v>
      </c>
      <c r="W15" s="158" t="s">
        <v>92</v>
      </c>
      <c r="X15" s="158" t="s">
        <v>92</v>
      </c>
      <c r="Y15" s="158" t="s">
        <v>92</v>
      </c>
      <c r="Z15" s="158" t="s">
        <v>92</v>
      </c>
      <c r="AA15" s="158" t="s">
        <v>92</v>
      </c>
      <c r="AB15" s="158" t="s">
        <v>92</v>
      </c>
      <c r="AC15" s="158" t="s">
        <v>92</v>
      </c>
      <c r="AD15" s="158" t="s">
        <v>92</v>
      </c>
      <c r="AE15" s="158" t="s">
        <v>92</v>
      </c>
      <c r="AF15" s="158" t="s">
        <v>92</v>
      </c>
      <c r="AG15" s="158" t="s">
        <v>92</v>
      </c>
      <c r="AH15" s="158" t="s">
        <v>92</v>
      </c>
      <c r="AI15" s="158" t="s">
        <v>92</v>
      </c>
      <c r="AJ15" s="158" t="s">
        <v>92</v>
      </c>
      <c r="AK15" s="158" t="s">
        <v>92</v>
      </c>
      <c r="AL15" s="158" t="s">
        <v>92</v>
      </c>
      <c r="AM15" s="158" t="s">
        <v>92</v>
      </c>
      <c r="AN15" s="158" t="s">
        <v>92</v>
      </c>
    </row>
    <row r="16" spans="1:40" ht="26.1" customHeight="1" thickBot="1" x14ac:dyDescent="0.3">
      <c r="A16" s="1" t="s">
        <v>89</v>
      </c>
      <c r="B16" s="17">
        <v>5</v>
      </c>
      <c r="C16" s="199" t="str">
        <f>VLOOKUP(B16,Começo!A:D,3,0)</f>
        <v>Quimíca</v>
      </c>
      <c r="D16" s="199"/>
      <c r="E16" s="199"/>
      <c r="F16" s="199"/>
      <c r="G16" s="194">
        <f>IFERROR(COUNTIF(Tabela110[#This Row],"sim"),"")*Começo!D18+SUM(Tabela110[#This Row])</f>
        <v>0</v>
      </c>
      <c r="H16" s="194"/>
      <c r="I16" s="194"/>
      <c r="J16" s="194"/>
      <c r="K16" s="158" t="s">
        <v>92</v>
      </c>
      <c r="L16" s="158" t="s">
        <v>92</v>
      </c>
      <c r="M16" s="158" t="s">
        <v>92</v>
      </c>
      <c r="N16" s="158" t="s">
        <v>92</v>
      </c>
      <c r="O16" s="158" t="s">
        <v>92</v>
      </c>
      <c r="P16" s="158" t="s">
        <v>92</v>
      </c>
      <c r="Q16" s="158" t="s">
        <v>92</v>
      </c>
      <c r="R16" s="158" t="s">
        <v>92</v>
      </c>
      <c r="S16" s="158" t="s">
        <v>92</v>
      </c>
      <c r="T16" s="158" t="s">
        <v>92</v>
      </c>
      <c r="U16" s="158" t="s">
        <v>92</v>
      </c>
      <c r="V16" s="158" t="s">
        <v>92</v>
      </c>
      <c r="W16" s="158" t="s">
        <v>92</v>
      </c>
      <c r="X16" s="158" t="s">
        <v>92</v>
      </c>
      <c r="Y16" s="158" t="s">
        <v>92</v>
      </c>
      <c r="Z16" s="158" t="s">
        <v>92</v>
      </c>
      <c r="AA16" s="158" t="s">
        <v>92</v>
      </c>
      <c r="AB16" s="158" t="s">
        <v>92</v>
      </c>
      <c r="AC16" s="158" t="s">
        <v>92</v>
      </c>
      <c r="AD16" s="158" t="s">
        <v>92</v>
      </c>
      <c r="AE16" s="158" t="s">
        <v>92</v>
      </c>
      <c r="AF16" s="158" t="s">
        <v>92</v>
      </c>
      <c r="AG16" s="158" t="s">
        <v>92</v>
      </c>
      <c r="AH16" s="158" t="s">
        <v>92</v>
      </c>
      <c r="AI16" s="158" t="s">
        <v>92</v>
      </c>
      <c r="AJ16" s="158" t="s">
        <v>92</v>
      </c>
      <c r="AK16" s="158" t="s">
        <v>92</v>
      </c>
      <c r="AL16" s="158" t="s">
        <v>92</v>
      </c>
      <c r="AM16" s="158" t="s">
        <v>92</v>
      </c>
      <c r="AN16" s="158" t="s">
        <v>92</v>
      </c>
    </row>
    <row r="17" spans="1:40" ht="26.1" customHeight="1" thickBot="1" x14ac:dyDescent="0.3">
      <c r="A17" s="1" t="s">
        <v>89</v>
      </c>
      <c r="B17" s="17">
        <v>6</v>
      </c>
      <c r="C17" s="199" t="str">
        <f>VLOOKUP(B17,Começo!A:D,3,0)</f>
        <v>Legislação</v>
      </c>
      <c r="D17" s="199"/>
      <c r="E17" s="199"/>
      <c r="F17" s="199"/>
      <c r="G17" s="194">
        <f>IFERROR(COUNTIF(Tabela110[#This Row],"sim"),"")*Começo!D19+SUM(Tabela110[#This Row])</f>
        <v>0</v>
      </c>
      <c r="H17" s="194"/>
      <c r="I17" s="194"/>
      <c r="J17" s="194"/>
      <c r="K17" s="158" t="s">
        <v>92</v>
      </c>
      <c r="L17" s="158" t="s">
        <v>92</v>
      </c>
      <c r="M17" s="158" t="s">
        <v>92</v>
      </c>
      <c r="N17" s="158" t="s">
        <v>92</v>
      </c>
      <c r="O17" s="158" t="s">
        <v>92</v>
      </c>
      <c r="P17" s="158" t="s">
        <v>92</v>
      </c>
      <c r="Q17" s="158" t="s">
        <v>92</v>
      </c>
      <c r="R17" s="158" t="s">
        <v>92</v>
      </c>
      <c r="S17" s="158" t="s">
        <v>92</v>
      </c>
      <c r="T17" s="158" t="s">
        <v>92</v>
      </c>
      <c r="U17" s="158" t="s">
        <v>92</v>
      </c>
      <c r="V17" s="158" t="s">
        <v>92</v>
      </c>
      <c r="W17" s="158" t="s">
        <v>92</v>
      </c>
      <c r="X17" s="158" t="s">
        <v>92</v>
      </c>
      <c r="Y17" s="158" t="s">
        <v>92</v>
      </c>
      <c r="Z17" s="158" t="s">
        <v>92</v>
      </c>
      <c r="AA17" s="158" t="s">
        <v>92</v>
      </c>
      <c r="AB17" s="158" t="s">
        <v>92</v>
      </c>
      <c r="AC17" s="158" t="s">
        <v>92</v>
      </c>
      <c r="AD17" s="158" t="s">
        <v>92</v>
      </c>
      <c r="AE17" s="158" t="s">
        <v>92</v>
      </c>
      <c r="AF17" s="158" t="s">
        <v>92</v>
      </c>
      <c r="AG17" s="158" t="s">
        <v>92</v>
      </c>
      <c r="AH17" s="158" t="s">
        <v>92</v>
      </c>
      <c r="AI17" s="158" t="s">
        <v>92</v>
      </c>
      <c r="AJ17" s="158" t="s">
        <v>92</v>
      </c>
      <c r="AK17" s="158" t="s">
        <v>92</v>
      </c>
      <c r="AL17" s="158" t="s">
        <v>92</v>
      </c>
      <c r="AM17" s="158" t="s">
        <v>92</v>
      </c>
      <c r="AN17" s="158" t="s">
        <v>92</v>
      </c>
    </row>
    <row r="18" spans="1:40" ht="26.1" customHeight="1" thickBot="1" x14ac:dyDescent="0.3">
      <c r="A18" s="1" t="s">
        <v>89</v>
      </c>
      <c r="B18" s="17">
        <v>7</v>
      </c>
      <c r="C18" s="199" t="str">
        <f>VLOOKUP(B18,Começo!A:D,3,0)</f>
        <v>Processo Penal</v>
      </c>
      <c r="D18" s="199"/>
      <c r="E18" s="199"/>
      <c r="F18" s="199"/>
      <c r="G18" s="194">
        <f>IFERROR(COUNTIF(Tabela110[#This Row],"sim"),"")*Começo!D20+SUM(Tabela110[#This Row])</f>
        <v>0</v>
      </c>
      <c r="H18" s="194"/>
      <c r="I18" s="194"/>
      <c r="J18" s="194"/>
      <c r="K18" s="158" t="s">
        <v>92</v>
      </c>
      <c r="L18" s="158" t="s">
        <v>92</v>
      </c>
      <c r="M18" s="158" t="s">
        <v>92</v>
      </c>
      <c r="N18" s="158" t="s">
        <v>92</v>
      </c>
      <c r="O18" s="158" t="s">
        <v>92</v>
      </c>
      <c r="P18" s="158" t="s">
        <v>92</v>
      </c>
      <c r="Q18" s="158" t="s">
        <v>92</v>
      </c>
      <c r="R18" s="158" t="s">
        <v>92</v>
      </c>
      <c r="S18" s="158" t="s">
        <v>92</v>
      </c>
      <c r="T18" s="158" t="s">
        <v>92</v>
      </c>
      <c r="U18" s="158" t="s">
        <v>92</v>
      </c>
      <c r="V18" s="158" t="s">
        <v>92</v>
      </c>
      <c r="W18" s="158" t="s">
        <v>92</v>
      </c>
      <c r="X18" s="158" t="s">
        <v>92</v>
      </c>
      <c r="Y18" s="158" t="s">
        <v>92</v>
      </c>
      <c r="Z18" s="158" t="s">
        <v>92</v>
      </c>
      <c r="AA18" s="158" t="s">
        <v>92</v>
      </c>
      <c r="AB18" s="158" t="s">
        <v>92</v>
      </c>
      <c r="AC18" s="158" t="s">
        <v>92</v>
      </c>
      <c r="AD18" s="158" t="s">
        <v>92</v>
      </c>
      <c r="AE18" s="158" t="s">
        <v>92</v>
      </c>
      <c r="AF18" s="158" t="s">
        <v>92</v>
      </c>
      <c r="AG18" s="158" t="s">
        <v>92</v>
      </c>
      <c r="AH18" s="158" t="s">
        <v>92</v>
      </c>
      <c r="AI18" s="158" t="s">
        <v>92</v>
      </c>
      <c r="AJ18" s="158" t="s">
        <v>92</v>
      </c>
      <c r="AK18" s="158" t="s">
        <v>92</v>
      </c>
      <c r="AL18" s="158" t="s">
        <v>92</v>
      </c>
      <c r="AM18" s="158" t="s">
        <v>92</v>
      </c>
      <c r="AN18" s="158" t="s">
        <v>92</v>
      </c>
    </row>
    <row r="19" spans="1:40" ht="26.1" customHeight="1" thickBot="1" x14ac:dyDescent="0.3">
      <c r="A19" s="1" t="s">
        <v>89</v>
      </c>
      <c r="B19" s="17">
        <v>8</v>
      </c>
      <c r="C19" s="199" t="str">
        <f>VLOOKUP(B19,Começo!A:D,3,0)</f>
        <v>Direito Administrativo</v>
      </c>
      <c r="D19" s="199"/>
      <c r="E19" s="199"/>
      <c r="F19" s="199"/>
      <c r="G19" s="194">
        <f>IFERROR(COUNTIF(Tabela110[#This Row],"sim"),"")*Começo!D21+SUM(Tabela110[#This Row])</f>
        <v>0</v>
      </c>
      <c r="H19" s="194"/>
      <c r="I19" s="194"/>
      <c r="J19" s="194"/>
      <c r="K19" s="158" t="s">
        <v>92</v>
      </c>
      <c r="L19" s="158" t="s">
        <v>92</v>
      </c>
      <c r="M19" s="158" t="s">
        <v>92</v>
      </c>
      <c r="N19" s="158" t="s">
        <v>92</v>
      </c>
      <c r="O19" s="158" t="s">
        <v>92</v>
      </c>
      <c r="P19" s="158" t="s">
        <v>92</v>
      </c>
      <c r="Q19" s="158" t="s">
        <v>92</v>
      </c>
      <c r="R19" s="158" t="s">
        <v>92</v>
      </c>
      <c r="S19" s="158" t="s">
        <v>92</v>
      </c>
      <c r="T19" s="158" t="s">
        <v>92</v>
      </c>
      <c r="U19" s="158" t="s">
        <v>92</v>
      </c>
      <c r="V19" s="158" t="s">
        <v>92</v>
      </c>
      <c r="W19" s="158" t="s">
        <v>92</v>
      </c>
      <c r="X19" s="158" t="s">
        <v>92</v>
      </c>
      <c r="Y19" s="158" t="s">
        <v>92</v>
      </c>
      <c r="Z19" s="158" t="s">
        <v>92</v>
      </c>
      <c r="AA19" s="158" t="s">
        <v>92</v>
      </c>
      <c r="AB19" s="158" t="s">
        <v>92</v>
      </c>
      <c r="AC19" s="158" t="s">
        <v>92</v>
      </c>
      <c r="AD19" s="158" t="s">
        <v>92</v>
      </c>
      <c r="AE19" s="158" t="s">
        <v>92</v>
      </c>
      <c r="AF19" s="158" t="s">
        <v>92</v>
      </c>
      <c r="AG19" s="158" t="s">
        <v>92</v>
      </c>
      <c r="AH19" s="158" t="s">
        <v>92</v>
      </c>
      <c r="AI19" s="158" t="s">
        <v>92</v>
      </c>
      <c r="AJ19" s="158" t="s">
        <v>92</v>
      </c>
      <c r="AK19" s="158" t="s">
        <v>92</v>
      </c>
      <c r="AL19" s="158" t="s">
        <v>92</v>
      </c>
      <c r="AM19" s="158" t="s">
        <v>92</v>
      </c>
      <c r="AN19" s="158" t="s">
        <v>92</v>
      </c>
    </row>
    <row r="20" spans="1:40" ht="26.1" customHeight="1" thickBot="1" x14ac:dyDescent="0.3">
      <c r="A20" s="1" t="s">
        <v>89</v>
      </c>
      <c r="B20" s="17">
        <v>9</v>
      </c>
      <c r="C20" s="199" t="str">
        <f>VLOOKUP(B20,Começo!A:D,3,0)</f>
        <v>Direito Tributário</v>
      </c>
      <c r="D20" s="199"/>
      <c r="E20" s="199"/>
      <c r="F20" s="199"/>
      <c r="G20" s="194">
        <f>IFERROR(COUNTIF(Tabela110[#This Row],"sim"),"")*Começo!D22+SUM(Tabela110[#This Row])</f>
        <v>0</v>
      </c>
      <c r="H20" s="194"/>
      <c r="I20" s="194"/>
      <c r="J20" s="194"/>
      <c r="K20" s="158" t="s">
        <v>92</v>
      </c>
      <c r="L20" s="158" t="s">
        <v>92</v>
      </c>
      <c r="M20" s="158" t="s">
        <v>92</v>
      </c>
      <c r="N20" s="158" t="s">
        <v>92</v>
      </c>
      <c r="O20" s="158" t="s">
        <v>92</v>
      </c>
      <c r="P20" s="158" t="s">
        <v>92</v>
      </c>
      <c r="Q20" s="158" t="s">
        <v>92</v>
      </c>
      <c r="R20" s="158" t="s">
        <v>92</v>
      </c>
      <c r="S20" s="158" t="s">
        <v>92</v>
      </c>
      <c r="T20" s="158" t="s">
        <v>92</v>
      </c>
      <c r="U20" s="158" t="s">
        <v>92</v>
      </c>
      <c r="V20" s="158" t="s">
        <v>92</v>
      </c>
      <c r="W20" s="158" t="s">
        <v>92</v>
      </c>
      <c r="X20" s="158" t="s">
        <v>92</v>
      </c>
      <c r="Y20" s="158" t="s">
        <v>92</v>
      </c>
      <c r="Z20" s="158" t="s">
        <v>92</v>
      </c>
      <c r="AA20" s="158" t="s">
        <v>92</v>
      </c>
      <c r="AB20" s="158" t="s">
        <v>92</v>
      </c>
      <c r="AC20" s="158" t="s">
        <v>92</v>
      </c>
      <c r="AD20" s="158" t="s">
        <v>92</v>
      </c>
      <c r="AE20" s="158" t="s">
        <v>92</v>
      </c>
      <c r="AF20" s="158" t="s">
        <v>92</v>
      </c>
      <c r="AG20" s="158" t="s">
        <v>92</v>
      </c>
      <c r="AH20" s="158" t="s">
        <v>92</v>
      </c>
      <c r="AI20" s="158" t="s">
        <v>92</v>
      </c>
      <c r="AJ20" s="158" t="s">
        <v>92</v>
      </c>
      <c r="AK20" s="158" t="s">
        <v>92</v>
      </c>
      <c r="AL20" s="158" t="s">
        <v>92</v>
      </c>
      <c r="AM20" s="158" t="s">
        <v>92</v>
      </c>
      <c r="AN20" s="158" t="s">
        <v>92</v>
      </c>
    </row>
    <row r="21" spans="1:40" ht="26.1" customHeight="1" thickBot="1" x14ac:dyDescent="0.3">
      <c r="A21" s="1" t="s">
        <v>89</v>
      </c>
      <c r="B21" s="17">
        <v>10</v>
      </c>
      <c r="C21" s="199" t="str">
        <f>VLOOKUP(B21,Começo!A:D,3,0)</f>
        <v>Inglês</v>
      </c>
      <c r="D21" s="199"/>
      <c r="E21" s="199"/>
      <c r="F21" s="199"/>
      <c r="G21" s="194">
        <f>IFERROR(COUNTIF(Tabela110[#This Row],"sim"),"")*Começo!D23+SUM(Tabela110[#This Row])</f>
        <v>0</v>
      </c>
      <c r="H21" s="194"/>
      <c r="I21" s="194"/>
      <c r="J21" s="194"/>
      <c r="K21" s="158" t="s">
        <v>92</v>
      </c>
      <c r="L21" s="158" t="s">
        <v>92</v>
      </c>
      <c r="M21" s="158" t="s">
        <v>92</v>
      </c>
      <c r="N21" s="158" t="s">
        <v>92</v>
      </c>
      <c r="O21" s="158" t="s">
        <v>92</v>
      </c>
      <c r="P21" s="158" t="s">
        <v>92</v>
      </c>
      <c r="Q21" s="158" t="s">
        <v>92</v>
      </c>
      <c r="R21" s="158" t="s">
        <v>92</v>
      </c>
      <c r="S21" s="158" t="s">
        <v>92</v>
      </c>
      <c r="T21" s="158" t="s">
        <v>92</v>
      </c>
      <c r="U21" s="158" t="s">
        <v>92</v>
      </c>
      <c r="V21" s="158" t="s">
        <v>92</v>
      </c>
      <c r="W21" s="158" t="s">
        <v>92</v>
      </c>
      <c r="X21" s="158" t="s">
        <v>92</v>
      </c>
      <c r="Y21" s="158" t="s">
        <v>92</v>
      </c>
      <c r="Z21" s="158" t="s">
        <v>92</v>
      </c>
      <c r="AA21" s="158" t="s">
        <v>92</v>
      </c>
      <c r="AB21" s="158" t="s">
        <v>92</v>
      </c>
      <c r="AC21" s="158" t="s">
        <v>92</v>
      </c>
      <c r="AD21" s="158" t="s">
        <v>92</v>
      </c>
      <c r="AE21" s="158" t="s">
        <v>92</v>
      </c>
      <c r="AF21" s="158" t="s">
        <v>92</v>
      </c>
      <c r="AG21" s="158" t="s">
        <v>92</v>
      </c>
      <c r="AH21" s="158" t="s">
        <v>92</v>
      </c>
      <c r="AI21" s="158" t="s">
        <v>92</v>
      </c>
      <c r="AJ21" s="158" t="s">
        <v>92</v>
      </c>
      <c r="AK21" s="158" t="s">
        <v>92</v>
      </c>
      <c r="AL21" s="158" t="s">
        <v>92</v>
      </c>
      <c r="AM21" s="158" t="s">
        <v>92</v>
      </c>
      <c r="AN21" s="158" t="s">
        <v>92</v>
      </c>
    </row>
    <row r="22" spans="1:40" ht="26.1" customHeight="1" thickBot="1" x14ac:dyDescent="0.3">
      <c r="A22" s="1" t="s">
        <v>89</v>
      </c>
      <c r="B22" s="17">
        <v>11</v>
      </c>
      <c r="C22" s="199" t="str">
        <f>VLOOKUP(B22,Começo!A:D,3,0)</f>
        <v>Análise de Sistemas</v>
      </c>
      <c r="D22" s="199"/>
      <c r="E22" s="199"/>
      <c r="F22" s="199"/>
      <c r="G22" s="194">
        <f>IFERROR(COUNTIF(Tabela110[#This Row],"sim"),"")*Começo!D24+SUM(Tabela110[#This Row])</f>
        <v>0</v>
      </c>
      <c r="H22" s="194"/>
      <c r="I22" s="194"/>
      <c r="J22" s="194"/>
      <c r="K22" s="158" t="s">
        <v>92</v>
      </c>
      <c r="L22" s="158" t="s">
        <v>92</v>
      </c>
      <c r="M22" s="158" t="s">
        <v>92</v>
      </c>
      <c r="N22" s="158" t="s">
        <v>92</v>
      </c>
      <c r="O22" s="158" t="s">
        <v>92</v>
      </c>
      <c r="P22" s="158" t="s">
        <v>92</v>
      </c>
      <c r="Q22" s="158" t="s">
        <v>92</v>
      </c>
      <c r="R22" s="158" t="s">
        <v>92</v>
      </c>
      <c r="S22" s="158" t="s">
        <v>92</v>
      </c>
      <c r="T22" s="158" t="s">
        <v>92</v>
      </c>
      <c r="U22" s="158" t="s">
        <v>92</v>
      </c>
      <c r="V22" s="158" t="s">
        <v>92</v>
      </c>
      <c r="W22" s="158" t="s">
        <v>92</v>
      </c>
      <c r="X22" s="158" t="s">
        <v>92</v>
      </c>
      <c r="Y22" s="158" t="s">
        <v>92</v>
      </c>
      <c r="Z22" s="158" t="s">
        <v>92</v>
      </c>
      <c r="AA22" s="158" t="s">
        <v>92</v>
      </c>
      <c r="AB22" s="158" t="s">
        <v>92</v>
      </c>
      <c r="AC22" s="158" t="s">
        <v>92</v>
      </c>
      <c r="AD22" s="158" t="s">
        <v>92</v>
      </c>
      <c r="AE22" s="158" t="s">
        <v>92</v>
      </c>
      <c r="AF22" s="158" t="s">
        <v>92</v>
      </c>
      <c r="AG22" s="158" t="s">
        <v>92</v>
      </c>
      <c r="AH22" s="158" t="s">
        <v>92</v>
      </c>
      <c r="AI22" s="158" t="s">
        <v>92</v>
      </c>
      <c r="AJ22" s="158" t="s">
        <v>92</v>
      </c>
      <c r="AK22" s="158" t="s">
        <v>92</v>
      </c>
      <c r="AL22" s="158" t="s">
        <v>92</v>
      </c>
      <c r="AM22" s="158" t="s">
        <v>92</v>
      </c>
      <c r="AN22" s="158" t="s">
        <v>92</v>
      </c>
    </row>
    <row r="23" spans="1:40" ht="26.1" customHeight="1" thickBot="1" x14ac:dyDescent="0.3">
      <c r="A23" s="1" t="s">
        <v>89</v>
      </c>
      <c r="B23" s="17">
        <v>12</v>
      </c>
      <c r="C23" s="199" t="str">
        <f>VLOOKUP(B23,Começo!A:D,3,0)</f>
        <v>Direito Legislativo</v>
      </c>
      <c r="D23" s="199"/>
      <c r="E23" s="199"/>
      <c r="F23" s="199"/>
      <c r="G23" s="194">
        <f>IFERROR(COUNTIF(Tabela110[#This Row],"sim"),"")*Começo!D25+SUM(Tabela110[#This Row])</f>
        <v>0</v>
      </c>
      <c r="H23" s="194"/>
      <c r="I23" s="194"/>
      <c r="J23" s="194"/>
      <c r="K23" s="158" t="s">
        <v>92</v>
      </c>
      <c r="L23" s="158" t="s">
        <v>92</v>
      </c>
      <c r="M23" s="158" t="s">
        <v>92</v>
      </c>
      <c r="N23" s="158" t="s">
        <v>92</v>
      </c>
      <c r="O23" s="158" t="s">
        <v>92</v>
      </c>
      <c r="P23" s="158" t="s">
        <v>92</v>
      </c>
      <c r="Q23" s="158" t="s">
        <v>92</v>
      </c>
      <c r="R23" s="158" t="s">
        <v>92</v>
      </c>
      <c r="S23" s="158" t="s">
        <v>92</v>
      </c>
      <c r="T23" s="158" t="s">
        <v>92</v>
      </c>
      <c r="U23" s="158" t="s">
        <v>92</v>
      </c>
      <c r="V23" s="158" t="s">
        <v>92</v>
      </c>
      <c r="W23" s="158" t="s">
        <v>92</v>
      </c>
      <c r="X23" s="158" t="s">
        <v>92</v>
      </c>
      <c r="Y23" s="158" t="s">
        <v>92</v>
      </c>
      <c r="Z23" s="158" t="s">
        <v>92</v>
      </c>
      <c r="AA23" s="158" t="s">
        <v>92</v>
      </c>
      <c r="AB23" s="158" t="s">
        <v>92</v>
      </c>
      <c r="AC23" s="158" t="s">
        <v>92</v>
      </c>
      <c r="AD23" s="158" t="s">
        <v>92</v>
      </c>
      <c r="AE23" s="158" t="s">
        <v>92</v>
      </c>
      <c r="AF23" s="158" t="s">
        <v>92</v>
      </c>
      <c r="AG23" s="158" t="s">
        <v>92</v>
      </c>
      <c r="AH23" s="158" t="s">
        <v>92</v>
      </c>
      <c r="AI23" s="158" t="s">
        <v>92</v>
      </c>
      <c r="AJ23" s="158" t="s">
        <v>92</v>
      </c>
      <c r="AK23" s="158" t="s">
        <v>92</v>
      </c>
      <c r="AL23" s="158" t="s">
        <v>92</v>
      </c>
      <c r="AM23" s="158" t="s">
        <v>92</v>
      </c>
      <c r="AN23" s="158" t="s">
        <v>92</v>
      </c>
    </row>
    <row r="24" spans="1:40" ht="26.1" customHeight="1" thickBot="1" x14ac:dyDescent="0.3">
      <c r="A24" s="1" t="s">
        <v>89</v>
      </c>
      <c r="B24" s="17">
        <v>13</v>
      </c>
      <c r="C24" s="199" t="str">
        <f>VLOOKUP(B24,Começo!A:D,3,0)</f>
        <v>Mecânica dos Fluídos</v>
      </c>
      <c r="D24" s="199"/>
      <c r="E24" s="199"/>
      <c r="F24" s="199"/>
      <c r="G24" s="194">
        <f>IFERROR(COUNTIF(Tabela110[#This Row],"sim"),"")*Começo!D26+SUM(Tabela110[#This Row])</f>
        <v>0</v>
      </c>
      <c r="H24" s="194"/>
      <c r="I24" s="194"/>
      <c r="J24" s="194"/>
      <c r="K24" s="158" t="s">
        <v>92</v>
      </c>
      <c r="L24" s="158" t="s">
        <v>92</v>
      </c>
      <c r="M24" s="158" t="s">
        <v>92</v>
      </c>
      <c r="N24" s="158" t="s">
        <v>92</v>
      </c>
      <c r="O24" s="158" t="s">
        <v>92</v>
      </c>
      <c r="P24" s="158" t="s">
        <v>92</v>
      </c>
      <c r="Q24" s="158" t="s">
        <v>92</v>
      </c>
      <c r="R24" s="158" t="s">
        <v>92</v>
      </c>
      <c r="S24" s="158" t="s">
        <v>92</v>
      </c>
      <c r="T24" s="158" t="s">
        <v>92</v>
      </c>
      <c r="U24" s="158" t="s">
        <v>92</v>
      </c>
      <c r="V24" s="158" t="s">
        <v>92</v>
      </c>
      <c r="W24" s="158" t="s">
        <v>92</v>
      </c>
      <c r="X24" s="158" t="s">
        <v>92</v>
      </c>
      <c r="Y24" s="158" t="s">
        <v>92</v>
      </c>
      <c r="Z24" s="158" t="s">
        <v>92</v>
      </c>
      <c r="AA24" s="158" t="s">
        <v>92</v>
      </c>
      <c r="AB24" s="158" t="s">
        <v>92</v>
      </c>
      <c r="AC24" s="158" t="s">
        <v>92</v>
      </c>
      <c r="AD24" s="158" t="s">
        <v>92</v>
      </c>
      <c r="AE24" s="158" t="s">
        <v>92</v>
      </c>
      <c r="AF24" s="158" t="s">
        <v>92</v>
      </c>
      <c r="AG24" s="158" t="s">
        <v>92</v>
      </c>
      <c r="AH24" s="158" t="s">
        <v>92</v>
      </c>
      <c r="AI24" s="158" t="s">
        <v>92</v>
      </c>
      <c r="AJ24" s="158" t="s">
        <v>92</v>
      </c>
      <c r="AK24" s="158" t="s">
        <v>92</v>
      </c>
      <c r="AL24" s="158" t="s">
        <v>92</v>
      </c>
      <c r="AM24" s="158" t="s">
        <v>92</v>
      </c>
      <c r="AN24" s="158" t="s">
        <v>92</v>
      </c>
    </row>
    <row r="25" spans="1:40" ht="26.1" customHeight="1" thickBot="1" x14ac:dyDescent="0.3">
      <c r="A25" s="1" t="s">
        <v>89</v>
      </c>
      <c r="B25" s="17">
        <v>14</v>
      </c>
      <c r="C25" s="199" t="str">
        <f>VLOOKUP(B25,Começo!A:D,3,0)</f>
        <v>IoT</v>
      </c>
      <c r="D25" s="199"/>
      <c r="E25" s="199"/>
      <c r="F25" s="199"/>
      <c r="G25" s="194">
        <f>IFERROR(COUNTIF(Tabela110[#This Row],"sim"),"")*Começo!D27+SUM(Tabela110[#This Row])</f>
        <v>0</v>
      </c>
      <c r="H25" s="194"/>
      <c r="I25" s="194"/>
      <c r="J25" s="194"/>
      <c r="K25" s="158" t="s">
        <v>92</v>
      </c>
      <c r="L25" s="158" t="s">
        <v>92</v>
      </c>
      <c r="M25" s="158" t="s">
        <v>92</v>
      </c>
      <c r="N25" s="158" t="s">
        <v>92</v>
      </c>
      <c r="O25" s="158" t="s">
        <v>92</v>
      </c>
      <c r="P25" s="158" t="s">
        <v>92</v>
      </c>
      <c r="Q25" s="158" t="s">
        <v>92</v>
      </c>
      <c r="R25" s="158" t="s">
        <v>92</v>
      </c>
      <c r="S25" s="158" t="s">
        <v>92</v>
      </c>
      <c r="T25" s="158" t="s">
        <v>92</v>
      </c>
      <c r="U25" s="158" t="s">
        <v>92</v>
      </c>
      <c r="V25" s="158" t="s">
        <v>92</v>
      </c>
      <c r="W25" s="158" t="s">
        <v>92</v>
      </c>
      <c r="X25" s="158" t="s">
        <v>92</v>
      </c>
      <c r="Y25" s="158" t="s">
        <v>92</v>
      </c>
      <c r="Z25" s="158" t="s">
        <v>92</v>
      </c>
      <c r="AA25" s="158" t="s">
        <v>92</v>
      </c>
      <c r="AB25" s="158" t="s">
        <v>92</v>
      </c>
      <c r="AC25" s="158" t="s">
        <v>92</v>
      </c>
      <c r="AD25" s="158" t="s">
        <v>92</v>
      </c>
      <c r="AE25" s="158" t="s">
        <v>92</v>
      </c>
      <c r="AF25" s="158" t="s">
        <v>92</v>
      </c>
      <c r="AG25" s="158" t="s">
        <v>92</v>
      </c>
      <c r="AH25" s="158" t="s">
        <v>92</v>
      </c>
      <c r="AI25" s="158" t="s">
        <v>92</v>
      </c>
      <c r="AJ25" s="158" t="s">
        <v>92</v>
      </c>
      <c r="AK25" s="158" t="s">
        <v>92</v>
      </c>
      <c r="AL25" s="158" t="s">
        <v>92</v>
      </c>
      <c r="AM25" s="158" t="s">
        <v>92</v>
      </c>
      <c r="AN25" s="158" t="s">
        <v>92</v>
      </c>
    </row>
    <row r="26" spans="1:40" ht="26.1" customHeight="1" thickBot="1" x14ac:dyDescent="0.3">
      <c r="A26" s="1" t="s">
        <v>89</v>
      </c>
      <c r="B26" s="17">
        <v>15</v>
      </c>
      <c r="C26" s="199" t="str">
        <f>VLOOKUP(B26,Começo!A:D,3,0)</f>
        <v>Astrologia</v>
      </c>
      <c r="D26" s="199"/>
      <c r="E26" s="199"/>
      <c r="F26" s="199"/>
      <c r="G26" s="194">
        <f>IFERROR(COUNTIF(Tabela110[#This Row],"sim"),"")*Começo!D28+SUM(Tabela110[#This Row])</f>
        <v>0</v>
      </c>
      <c r="H26" s="194"/>
      <c r="I26" s="194"/>
      <c r="J26" s="194"/>
      <c r="K26" s="158" t="s">
        <v>92</v>
      </c>
      <c r="L26" s="158" t="s">
        <v>92</v>
      </c>
      <c r="M26" s="158" t="s">
        <v>92</v>
      </c>
      <c r="N26" s="158" t="s">
        <v>92</v>
      </c>
      <c r="O26" s="158" t="s">
        <v>92</v>
      </c>
      <c r="P26" s="158" t="s">
        <v>92</v>
      </c>
      <c r="Q26" s="158" t="s">
        <v>92</v>
      </c>
      <c r="R26" s="158" t="s">
        <v>92</v>
      </c>
      <c r="S26" s="158" t="s">
        <v>92</v>
      </c>
      <c r="T26" s="158" t="s">
        <v>92</v>
      </c>
      <c r="U26" s="158" t="s">
        <v>92</v>
      </c>
      <c r="V26" s="158" t="s">
        <v>92</v>
      </c>
      <c r="W26" s="158" t="s">
        <v>92</v>
      </c>
      <c r="X26" s="158" t="s">
        <v>92</v>
      </c>
      <c r="Y26" s="158" t="s">
        <v>92</v>
      </c>
      <c r="Z26" s="158" t="s">
        <v>92</v>
      </c>
      <c r="AA26" s="158" t="s">
        <v>92</v>
      </c>
      <c r="AB26" s="158" t="s">
        <v>92</v>
      </c>
      <c r="AC26" s="158" t="s">
        <v>92</v>
      </c>
      <c r="AD26" s="158" t="s">
        <v>92</v>
      </c>
      <c r="AE26" s="158" t="s">
        <v>92</v>
      </c>
      <c r="AF26" s="158" t="s">
        <v>92</v>
      </c>
      <c r="AG26" s="158" t="s">
        <v>92</v>
      </c>
      <c r="AH26" s="158" t="s">
        <v>92</v>
      </c>
      <c r="AI26" s="158" t="s">
        <v>92</v>
      </c>
      <c r="AJ26" s="158" t="s">
        <v>92</v>
      </c>
      <c r="AK26" s="158" t="s">
        <v>92</v>
      </c>
      <c r="AL26" s="158" t="s">
        <v>92</v>
      </c>
      <c r="AM26" s="158" t="s">
        <v>92</v>
      </c>
      <c r="AN26" s="158" t="s">
        <v>92</v>
      </c>
    </row>
    <row r="27" spans="1:40" ht="26.1" customHeight="1" thickBot="1" x14ac:dyDescent="0.3">
      <c r="A27" s="1" t="s">
        <v>89</v>
      </c>
      <c r="B27" s="17">
        <v>16</v>
      </c>
      <c r="C27" s="199" t="str">
        <f>VLOOKUP(B27,Começo!A:D,3,0)</f>
        <v>Colorimetria</v>
      </c>
      <c r="D27" s="199"/>
      <c r="E27" s="199"/>
      <c r="F27" s="199"/>
      <c r="G27" s="194">
        <f>IFERROR(COUNTIF(Tabela110[#This Row],"sim"),"")*Começo!D29+SUM(Tabela110[#This Row])</f>
        <v>0</v>
      </c>
      <c r="H27" s="194"/>
      <c r="I27" s="194"/>
      <c r="J27" s="194"/>
      <c r="K27" s="158" t="s">
        <v>92</v>
      </c>
      <c r="L27" s="158" t="s">
        <v>92</v>
      </c>
      <c r="M27" s="158" t="s">
        <v>92</v>
      </c>
      <c r="N27" s="158" t="s">
        <v>92</v>
      </c>
      <c r="O27" s="158" t="s">
        <v>92</v>
      </c>
      <c r="P27" s="158" t="s">
        <v>92</v>
      </c>
      <c r="Q27" s="158" t="s">
        <v>92</v>
      </c>
      <c r="R27" s="158" t="s">
        <v>92</v>
      </c>
      <c r="S27" s="158" t="s">
        <v>92</v>
      </c>
      <c r="T27" s="158" t="s">
        <v>92</v>
      </c>
      <c r="U27" s="158" t="s">
        <v>92</v>
      </c>
      <c r="V27" s="158" t="s">
        <v>92</v>
      </c>
      <c r="W27" s="158" t="s">
        <v>92</v>
      </c>
      <c r="X27" s="158" t="s">
        <v>92</v>
      </c>
      <c r="Y27" s="158" t="s">
        <v>92</v>
      </c>
      <c r="Z27" s="158" t="s">
        <v>92</v>
      </c>
      <c r="AA27" s="158" t="s">
        <v>92</v>
      </c>
      <c r="AB27" s="158" t="s">
        <v>92</v>
      </c>
      <c r="AC27" s="158" t="s">
        <v>92</v>
      </c>
      <c r="AD27" s="158" t="s">
        <v>92</v>
      </c>
      <c r="AE27" s="158" t="s">
        <v>92</v>
      </c>
      <c r="AF27" s="158" t="s">
        <v>92</v>
      </c>
      <c r="AG27" s="158" t="s">
        <v>92</v>
      </c>
      <c r="AH27" s="158" t="s">
        <v>92</v>
      </c>
      <c r="AI27" s="158" t="s">
        <v>92</v>
      </c>
      <c r="AJ27" s="158" t="s">
        <v>92</v>
      </c>
      <c r="AK27" s="158" t="s">
        <v>92</v>
      </c>
      <c r="AL27" s="158" t="s">
        <v>92</v>
      </c>
      <c r="AM27" s="158" t="s">
        <v>92</v>
      </c>
      <c r="AN27" s="158" t="s">
        <v>92</v>
      </c>
    </row>
    <row r="28" spans="1:40" ht="16.5" x14ac:dyDescent="0.25">
      <c r="K28" s="159">
        <f>SUBTOTAL(109,Tabela110[1-set])</f>
        <v>0</v>
      </c>
      <c r="L28" s="159">
        <f>SUBTOTAL(109,Tabela110[2-set])</f>
        <v>0</v>
      </c>
      <c r="M28" s="159">
        <f>SUBTOTAL(109,Tabela110[3-set])</f>
        <v>0</v>
      </c>
      <c r="N28" s="159">
        <f>SUBTOTAL(109,Tabela110[4-set])</f>
        <v>0</v>
      </c>
      <c r="O28" s="159">
        <f>SUBTOTAL(109,Tabela110[5-set])</f>
        <v>0</v>
      </c>
      <c r="P28" s="159">
        <f>SUBTOTAL(109,Tabela110[6-set])</f>
        <v>0</v>
      </c>
      <c r="Q28" s="159">
        <f>SUBTOTAL(109,Tabela110[7-set])</f>
        <v>0</v>
      </c>
      <c r="R28" s="159">
        <f>SUBTOTAL(109,Tabela110[8-set])</f>
        <v>0</v>
      </c>
      <c r="S28" s="159">
        <f>SUBTOTAL(109,Tabela110[9-set])</f>
        <v>0</v>
      </c>
      <c r="T28" s="159">
        <f>SUBTOTAL(109,Tabela110[10-set])</f>
        <v>0</v>
      </c>
      <c r="U28" s="159">
        <f>SUBTOTAL(109,Tabela110[11-set])</f>
        <v>0</v>
      </c>
      <c r="V28" s="159">
        <f>SUBTOTAL(109,Tabela110[12-set])</f>
        <v>0</v>
      </c>
      <c r="W28" s="159">
        <f>SUBTOTAL(109,Tabela110[13-set])</f>
        <v>0</v>
      </c>
      <c r="X28" s="159">
        <f>SUBTOTAL(109,Tabela110[14-set])</f>
        <v>0</v>
      </c>
      <c r="Y28" s="159">
        <f>SUBTOTAL(109,Tabela110[15-set])</f>
        <v>0</v>
      </c>
      <c r="Z28" s="159">
        <f>SUBTOTAL(109,Tabela110[16-set])</f>
        <v>0</v>
      </c>
      <c r="AA28" s="159">
        <f>SUBTOTAL(109,Tabela110[17-set])</f>
        <v>0</v>
      </c>
      <c r="AB28" s="159">
        <f>SUBTOTAL(109,Tabela110[18-set])</f>
        <v>0</v>
      </c>
      <c r="AC28" s="159">
        <f>SUBTOTAL(109,Tabela110[19-set])</f>
        <v>0</v>
      </c>
      <c r="AD28" s="159">
        <f>SUBTOTAL(109,Tabela110[20-set])</f>
        <v>0</v>
      </c>
      <c r="AE28" s="159">
        <f>SUBTOTAL(109,Tabela110[21-set])</f>
        <v>0</v>
      </c>
      <c r="AF28" s="159">
        <f>SUBTOTAL(109,Tabela110[22-set])</f>
        <v>0</v>
      </c>
      <c r="AG28" s="159">
        <f>SUBTOTAL(109,Tabela110[23-set])</f>
        <v>0</v>
      </c>
      <c r="AH28" s="159">
        <f>SUBTOTAL(109,Tabela110[24-set])</f>
        <v>0</v>
      </c>
      <c r="AI28" s="159">
        <f>SUBTOTAL(109,Tabela110[25-set])</f>
        <v>0</v>
      </c>
      <c r="AJ28" s="159">
        <f>SUBTOTAL(109,Tabela110[26-set])</f>
        <v>0</v>
      </c>
      <c r="AK28" s="159">
        <f>SUBTOTAL(109,Tabela110[27-set])</f>
        <v>0</v>
      </c>
      <c r="AL28" s="159">
        <f>SUBTOTAL(109,Tabela110[28-set])</f>
        <v>0</v>
      </c>
      <c r="AM28" s="159">
        <f>SUBTOTAL(109,Tabela110[29-set])</f>
        <v>0</v>
      </c>
      <c r="AN28" s="159">
        <f>SUBTOTAL(109,Tabela110[30-set])</f>
        <v>0</v>
      </c>
    </row>
    <row r="30" spans="1:40" x14ac:dyDescent="0.25">
      <c r="B30" s="188"/>
      <c r="C30" s="188"/>
    </row>
    <row r="31" spans="1:40" x14ac:dyDescent="0.25">
      <c r="B31" s="188"/>
      <c r="C31" s="188"/>
    </row>
  </sheetData>
  <sheetProtection algorithmName="SHA-512" hashValue="G5FWE9yJSADv8oKReywV4eT/JW0ibjjgZDOJP8wYQrG4QP035bmITVTCNaqtC2dkqDUs9QtVJ8fFBbpymYN3rg==" saltValue="hDmHZkkg18/283NoZm/y9g==" spinCount="100000" sheet="1" objects="1" scenarios="1"/>
  <mergeCells count="49">
    <mergeCell ref="C26:F26"/>
    <mergeCell ref="G26:J26"/>
    <mergeCell ref="C27:F27"/>
    <mergeCell ref="G27:J27"/>
    <mergeCell ref="C23:F23"/>
    <mergeCell ref="G23:J23"/>
    <mergeCell ref="C24:F24"/>
    <mergeCell ref="G24:J24"/>
    <mergeCell ref="C25:F25"/>
    <mergeCell ref="G25:J25"/>
    <mergeCell ref="C20:F20"/>
    <mergeCell ref="G20:J20"/>
    <mergeCell ref="C21:F21"/>
    <mergeCell ref="G21:J21"/>
    <mergeCell ref="C22:F22"/>
    <mergeCell ref="G22:J22"/>
    <mergeCell ref="C17:F17"/>
    <mergeCell ref="G17:J17"/>
    <mergeCell ref="C18:F18"/>
    <mergeCell ref="G18:J18"/>
    <mergeCell ref="C19:F19"/>
    <mergeCell ref="G19:J19"/>
    <mergeCell ref="C14:F14"/>
    <mergeCell ref="G14:J14"/>
    <mergeCell ref="C15:F15"/>
    <mergeCell ref="G15:J15"/>
    <mergeCell ref="C16:F16"/>
    <mergeCell ref="G16:J16"/>
    <mergeCell ref="H8:H9"/>
    <mergeCell ref="I8:I9"/>
    <mergeCell ref="J8:J9"/>
    <mergeCell ref="C13:F13"/>
    <mergeCell ref="G13:J13"/>
    <mergeCell ref="B30:C31"/>
    <mergeCell ref="L8:L9"/>
    <mergeCell ref="M8:M9"/>
    <mergeCell ref="O7:Q7"/>
    <mergeCell ref="O8:Q9"/>
    <mergeCell ref="B11:F11"/>
    <mergeCell ref="G11:J11"/>
    <mergeCell ref="K8:K9"/>
    <mergeCell ref="C12:F12"/>
    <mergeCell ref="G12:J12"/>
    <mergeCell ref="B8:B9"/>
    <mergeCell ref="C8:C9"/>
    <mergeCell ref="D8:D9"/>
    <mergeCell ref="E8:E9"/>
    <mergeCell ref="F8:F9"/>
    <mergeCell ref="G8:G9"/>
  </mergeCells>
  <conditionalFormatting sqref="K12:AN27">
    <cfRule type="containsText" dxfId="69" priority="3" operator="containsText" text="não">
      <formula>NOT(ISERROR(SEARCH("não",K12)))</formula>
    </cfRule>
    <cfRule type="containsText" dxfId="68" priority="4" operator="containsText" text="sim">
      <formula>NOT(ISERROR(SEARCH("sim",K12)))</formula>
    </cfRule>
  </conditionalFormatting>
  <conditionalFormatting sqref="G12:J2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{939F07C1-BE4B-4950-A15D-67BEDEE47B90}</x14:id>
        </ext>
      </extLst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{AA98C073-0839-4DDE-9634-B20D2FC48670}</x14:id>
        </ext>
      </extLst>
    </cfRule>
  </conditionalFormatting>
  <dataValidations count="1">
    <dataValidation type="list" allowBlank="1" showInputMessage="1" showErrorMessage="1" sqref="K12:AN27" xr:uid="{00000000-0002-0000-1C00-000000000000}">
      <formula1>"Sim,Não,00:30,01:00,01:30,02:00,02:30,03:00,03:30,04:00"</formula1>
    </dataValidation>
  </dataValidations>
  <hyperlinks>
    <hyperlink ref="B8" location="Desempenho!A1" display="janeiro" xr:uid="{00000000-0004-0000-1C00-000000000000}"/>
    <hyperlink ref="C8" location="fev!A1" display="Fevereiro" xr:uid="{00000000-0004-0000-1C00-000001000000}"/>
    <hyperlink ref="D8" location="mar!A1" display="Março" xr:uid="{00000000-0004-0000-1C00-000002000000}"/>
    <hyperlink ref="E8" location="abr!A1" display="Abril" xr:uid="{00000000-0004-0000-1C00-000003000000}"/>
    <hyperlink ref="F8" location="maio!A1" display="Maio" xr:uid="{00000000-0004-0000-1C00-000004000000}"/>
    <hyperlink ref="G8" location="jun!A1" display="Junho" xr:uid="{00000000-0004-0000-1C00-000005000000}"/>
    <hyperlink ref="H8" location="jul!A1" display="Julho" xr:uid="{00000000-0004-0000-1C00-000006000000}"/>
    <hyperlink ref="I8" location="ago!A1" display="Agosto" xr:uid="{00000000-0004-0000-1C00-000007000000}"/>
    <hyperlink ref="J8" location="set!A1" display="Setembro" xr:uid="{00000000-0004-0000-1C00-000008000000}"/>
    <hyperlink ref="K8" location="out!A1" display="Outubro" xr:uid="{00000000-0004-0000-1C00-000009000000}"/>
    <hyperlink ref="L8" location="nov!A1" display="Novembro" xr:uid="{00000000-0004-0000-1C00-00000A000000}"/>
    <hyperlink ref="M8" location="dez!A1" display="Dezembro" xr:uid="{00000000-0004-0000-1C00-00000B000000}"/>
  </hyperlink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F07C1-BE4B-4950-A15D-67BEDEE47B90}">
            <x14:dataBar minLength="0" maxLength="100" gradient="0">
              <x14:cfvo type="autoMin"/>
              <x14:cfvo type="autoMax"/>
              <x14:negativeFillColor rgb="FFFF0000"/>
              <x14:axisColor theme="0"/>
            </x14:dataBar>
          </x14:cfRule>
          <x14:cfRule type="dataBar" id="{AA98C073-0839-4DDE-9634-B20D2FC486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G12:J27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30"/>
  <dimension ref="A1:AO31"/>
  <sheetViews>
    <sheetView showGridLines="0" workbookViewId="0">
      <pane ySplit="4" topLeftCell="A5" activePane="bottomLeft" state="frozen"/>
      <selection activeCell="A5" sqref="A5"/>
      <selection pane="bottomLeft" activeCell="L8" sqref="L8:L9"/>
    </sheetView>
  </sheetViews>
  <sheetFormatPr defaultRowHeight="15" x14ac:dyDescent="0.25"/>
  <cols>
    <col min="1" max="1" width="3.85546875" style="27" customWidth="1"/>
    <col min="2" max="2" width="8.140625" style="27" bestFit="1" customWidth="1"/>
    <col min="3" max="3" width="10.5703125" style="27" bestFit="1" customWidth="1"/>
    <col min="4" max="4" width="7.5703125" style="27" bestFit="1" customWidth="1"/>
    <col min="5" max="5" width="6.140625" style="27" bestFit="1" customWidth="1"/>
    <col min="6" max="6" width="6.28515625" style="27" bestFit="1" customWidth="1"/>
    <col min="7" max="7" width="7.42578125" style="27" bestFit="1" customWidth="1"/>
    <col min="8" max="8" width="6.7109375" style="27" bestFit="1" customWidth="1"/>
    <col min="9" max="9" width="8.5703125" style="27" bestFit="1" customWidth="1"/>
    <col min="10" max="10" width="11" style="27" bestFit="1" customWidth="1"/>
    <col min="11" max="11" width="9.7109375" style="27" bestFit="1" customWidth="1"/>
    <col min="12" max="12" width="12" style="27" bestFit="1" customWidth="1"/>
    <col min="13" max="13" width="11.5703125" style="27" bestFit="1" customWidth="1"/>
    <col min="14" max="16384" width="9.140625" style="27"/>
  </cols>
  <sheetData>
    <row r="1" spans="1:41" s="38" customFormat="1" x14ac:dyDescent="0.25"/>
    <row r="2" spans="1:41" s="38" customFormat="1" x14ac:dyDescent="0.25"/>
    <row r="3" spans="1:41" s="38" customFormat="1" x14ac:dyDescent="0.25"/>
    <row r="4" spans="1:41" s="38" customFormat="1" x14ac:dyDescent="0.25"/>
    <row r="5" spans="1:41" s="63" customFormat="1" ht="3.95" customHeight="1" x14ac:dyDescent="0.25"/>
    <row r="6" spans="1:41" ht="15" customHeight="1" x14ac:dyDescent="0.25"/>
    <row r="7" spans="1:41" ht="15" customHeight="1" thickBot="1" x14ac:dyDescent="0.3">
      <c r="O7" s="246" t="s">
        <v>36</v>
      </c>
      <c r="P7" s="246"/>
      <c r="Q7" s="246"/>
    </row>
    <row r="8" spans="1:41" ht="15" customHeight="1" x14ac:dyDescent="0.25">
      <c r="A8" s="31"/>
      <c r="B8" s="250" t="s">
        <v>133</v>
      </c>
      <c r="C8" s="248" t="s">
        <v>25</v>
      </c>
      <c r="D8" s="248" t="s">
        <v>26</v>
      </c>
      <c r="E8" s="248" t="s">
        <v>27</v>
      </c>
      <c r="F8" s="248" t="s">
        <v>28</v>
      </c>
      <c r="G8" s="248" t="s">
        <v>29</v>
      </c>
      <c r="H8" s="248" t="s">
        <v>30</v>
      </c>
      <c r="I8" s="248" t="s">
        <v>31</v>
      </c>
      <c r="J8" s="248" t="s">
        <v>32</v>
      </c>
      <c r="K8" s="248" t="s">
        <v>33</v>
      </c>
      <c r="L8" s="248" t="s">
        <v>34</v>
      </c>
      <c r="M8" s="248" t="s">
        <v>35</v>
      </c>
      <c r="N8" s="51"/>
      <c r="O8" s="196">
        <f>SUM(G12:J27)</f>
        <v>0</v>
      </c>
      <c r="P8" s="196"/>
      <c r="Q8" s="196"/>
    </row>
    <row r="9" spans="1:41" ht="15" customHeight="1" x14ac:dyDescent="0.25">
      <c r="A9" s="31"/>
      <c r="B9" s="249"/>
      <c r="C9" s="249"/>
      <c r="D9" s="249"/>
      <c r="E9" s="249"/>
      <c r="F9" s="249"/>
      <c r="G9" s="249"/>
      <c r="H9" s="249"/>
      <c r="I9" s="249"/>
      <c r="J9" s="249"/>
      <c r="K9" s="249"/>
      <c r="L9" s="249"/>
      <c r="M9" s="249"/>
      <c r="N9" s="52"/>
      <c r="O9" s="196"/>
      <c r="P9" s="196"/>
      <c r="Q9" s="196"/>
    </row>
    <row r="10" spans="1:41" ht="15" customHeight="1" x14ac:dyDescent="0.25">
      <c r="A10" s="18"/>
      <c r="B10" s="18"/>
      <c r="C10" s="18"/>
      <c r="D10" s="18"/>
      <c r="E10" s="18"/>
      <c r="F10" s="18"/>
      <c r="G10" s="18"/>
      <c r="H10" s="18"/>
      <c r="I10" s="18"/>
      <c r="J10" s="18"/>
      <c r="O10" s="32"/>
      <c r="P10" s="32"/>
      <c r="Q10" s="32"/>
    </row>
    <row r="11" spans="1:41" ht="20.25" x14ac:dyDescent="0.25">
      <c r="A11" s="19"/>
      <c r="B11" s="198" t="s">
        <v>134</v>
      </c>
      <c r="C11" s="198"/>
      <c r="D11" s="198"/>
      <c r="E11" s="198"/>
      <c r="F11" s="198"/>
      <c r="G11" s="195" t="s">
        <v>37</v>
      </c>
      <c r="H11" s="195"/>
      <c r="I11" s="195"/>
      <c r="J11" s="195"/>
      <c r="K11" s="21" t="s">
        <v>385</v>
      </c>
      <c r="L11" s="21" t="s">
        <v>386</v>
      </c>
      <c r="M11" s="21" t="s">
        <v>387</v>
      </c>
      <c r="N11" s="21" t="s">
        <v>388</v>
      </c>
      <c r="O11" s="21" t="s">
        <v>389</v>
      </c>
      <c r="P11" s="21" t="s">
        <v>390</v>
      </c>
      <c r="Q11" s="21" t="s">
        <v>391</v>
      </c>
      <c r="R11" s="21" t="s">
        <v>392</v>
      </c>
      <c r="S11" s="21" t="s">
        <v>393</v>
      </c>
      <c r="T11" s="21" t="s">
        <v>394</v>
      </c>
      <c r="U11" s="21" t="s">
        <v>395</v>
      </c>
      <c r="V11" s="21" t="s">
        <v>396</v>
      </c>
      <c r="W11" s="21" t="s">
        <v>397</v>
      </c>
      <c r="X11" s="21" t="s">
        <v>398</v>
      </c>
      <c r="Y11" s="21" t="s">
        <v>399</v>
      </c>
      <c r="Z11" s="21" t="s">
        <v>400</v>
      </c>
      <c r="AA11" s="21" t="s">
        <v>401</v>
      </c>
      <c r="AB11" s="21" t="s">
        <v>402</v>
      </c>
      <c r="AC11" s="21" t="s">
        <v>403</v>
      </c>
      <c r="AD11" s="21" t="s">
        <v>404</v>
      </c>
      <c r="AE11" s="21" t="s">
        <v>405</v>
      </c>
      <c r="AF11" s="21" t="s">
        <v>406</v>
      </c>
      <c r="AG11" s="21" t="s">
        <v>407</v>
      </c>
      <c r="AH11" s="21" t="s">
        <v>408</v>
      </c>
      <c r="AI11" s="21" t="s">
        <v>409</v>
      </c>
      <c r="AJ11" s="21" t="s">
        <v>410</v>
      </c>
      <c r="AK11" s="21" t="s">
        <v>411</v>
      </c>
      <c r="AL11" s="21" t="s">
        <v>412</v>
      </c>
      <c r="AM11" s="21" t="s">
        <v>413</v>
      </c>
      <c r="AN11" s="21" t="s">
        <v>414</v>
      </c>
      <c r="AO11" s="21" t="s">
        <v>415</v>
      </c>
    </row>
    <row r="12" spans="1:41" ht="26.1" customHeight="1" thickBot="1" x14ac:dyDescent="0.3">
      <c r="A12" s="1" t="s">
        <v>89</v>
      </c>
      <c r="B12" s="16">
        <v>1</v>
      </c>
      <c r="C12" s="199" t="str">
        <f>VLOOKUP(B12,Começo!A:D,3,0)</f>
        <v>Português</v>
      </c>
      <c r="D12" s="199"/>
      <c r="E12" s="199"/>
      <c r="F12" s="199"/>
      <c r="G12" s="194">
        <f>IFERROR(COUNTIF(Tabela111[#This Row],"sim"),"")*Começo!D14+SUM(Tabela111[#This Row])</f>
        <v>0</v>
      </c>
      <c r="H12" s="194"/>
      <c r="I12" s="194"/>
      <c r="J12" s="194"/>
      <c r="K12" s="158" t="s">
        <v>92</v>
      </c>
      <c r="L12" s="158" t="s">
        <v>92</v>
      </c>
      <c r="M12" s="158" t="s">
        <v>92</v>
      </c>
      <c r="N12" s="158" t="s">
        <v>92</v>
      </c>
      <c r="O12" s="158" t="s">
        <v>92</v>
      </c>
      <c r="P12" s="158" t="s">
        <v>92</v>
      </c>
      <c r="Q12" s="158" t="s">
        <v>92</v>
      </c>
      <c r="R12" s="158" t="s">
        <v>92</v>
      </c>
      <c r="S12" s="158" t="s">
        <v>92</v>
      </c>
      <c r="T12" s="158" t="s">
        <v>92</v>
      </c>
      <c r="U12" s="158" t="s">
        <v>92</v>
      </c>
      <c r="V12" s="158" t="s">
        <v>92</v>
      </c>
      <c r="W12" s="158" t="s">
        <v>92</v>
      </c>
      <c r="X12" s="158" t="s">
        <v>92</v>
      </c>
      <c r="Y12" s="158" t="s">
        <v>92</v>
      </c>
      <c r="Z12" s="158" t="s">
        <v>92</v>
      </c>
      <c r="AA12" s="158" t="s">
        <v>92</v>
      </c>
      <c r="AB12" s="158" t="s">
        <v>92</v>
      </c>
      <c r="AC12" s="158" t="s">
        <v>92</v>
      </c>
      <c r="AD12" s="158" t="s">
        <v>92</v>
      </c>
      <c r="AE12" s="158" t="s">
        <v>92</v>
      </c>
      <c r="AF12" s="158" t="s">
        <v>92</v>
      </c>
      <c r="AG12" s="158" t="s">
        <v>92</v>
      </c>
      <c r="AH12" s="158" t="s">
        <v>92</v>
      </c>
      <c r="AI12" s="158" t="s">
        <v>92</v>
      </c>
      <c r="AJ12" s="158" t="s">
        <v>92</v>
      </c>
      <c r="AK12" s="158" t="s">
        <v>92</v>
      </c>
      <c r="AL12" s="158" t="s">
        <v>92</v>
      </c>
      <c r="AM12" s="158" t="s">
        <v>92</v>
      </c>
      <c r="AN12" s="158" t="s">
        <v>92</v>
      </c>
      <c r="AO12" s="158" t="s">
        <v>92</v>
      </c>
    </row>
    <row r="13" spans="1:41" ht="26.1" customHeight="1" thickBot="1" x14ac:dyDescent="0.3">
      <c r="A13" s="1" t="s">
        <v>89</v>
      </c>
      <c r="B13" s="17">
        <v>2</v>
      </c>
      <c r="C13" s="199" t="str">
        <f>VLOOKUP(B13,Começo!A:D,3,0)</f>
        <v>Matemática</v>
      </c>
      <c r="D13" s="199"/>
      <c r="E13" s="199"/>
      <c r="F13" s="199"/>
      <c r="G13" s="194">
        <f>IFERROR(COUNTIF(Tabela111[#This Row],"sim"),"")*Começo!D15+SUM(Tabela111[#This Row])</f>
        <v>0</v>
      </c>
      <c r="H13" s="194"/>
      <c r="I13" s="194"/>
      <c r="J13" s="194"/>
      <c r="K13" s="158" t="s">
        <v>92</v>
      </c>
      <c r="L13" s="158" t="s">
        <v>92</v>
      </c>
      <c r="M13" s="158" t="s">
        <v>92</v>
      </c>
      <c r="N13" s="158" t="s">
        <v>92</v>
      </c>
      <c r="O13" s="158" t="s">
        <v>92</v>
      </c>
      <c r="P13" s="158" t="s">
        <v>92</v>
      </c>
      <c r="Q13" s="158" t="s">
        <v>92</v>
      </c>
      <c r="R13" s="158" t="s">
        <v>92</v>
      </c>
      <c r="S13" s="158" t="s">
        <v>92</v>
      </c>
      <c r="T13" s="158" t="s">
        <v>92</v>
      </c>
      <c r="U13" s="158" t="s">
        <v>92</v>
      </c>
      <c r="V13" s="158" t="s">
        <v>92</v>
      </c>
      <c r="W13" s="158" t="s">
        <v>92</v>
      </c>
      <c r="X13" s="158" t="s">
        <v>92</v>
      </c>
      <c r="Y13" s="158" t="s">
        <v>92</v>
      </c>
      <c r="Z13" s="158" t="s">
        <v>92</v>
      </c>
      <c r="AA13" s="158" t="s">
        <v>92</v>
      </c>
      <c r="AB13" s="158" t="s">
        <v>92</v>
      </c>
      <c r="AC13" s="158" t="s">
        <v>92</v>
      </c>
      <c r="AD13" s="158" t="s">
        <v>92</v>
      </c>
      <c r="AE13" s="158" t="s">
        <v>92</v>
      </c>
      <c r="AF13" s="158" t="s">
        <v>92</v>
      </c>
      <c r="AG13" s="158" t="s">
        <v>92</v>
      </c>
      <c r="AH13" s="158" t="s">
        <v>92</v>
      </c>
      <c r="AI13" s="158" t="s">
        <v>92</v>
      </c>
      <c r="AJ13" s="158" t="s">
        <v>92</v>
      </c>
      <c r="AK13" s="158" t="s">
        <v>92</v>
      </c>
      <c r="AL13" s="158" t="s">
        <v>92</v>
      </c>
      <c r="AM13" s="158" t="s">
        <v>92</v>
      </c>
      <c r="AN13" s="158" t="s">
        <v>92</v>
      </c>
      <c r="AO13" s="158" t="s">
        <v>92</v>
      </c>
    </row>
    <row r="14" spans="1:41" ht="26.1" customHeight="1" thickBot="1" x14ac:dyDescent="0.3">
      <c r="A14" s="1" t="s">
        <v>89</v>
      </c>
      <c r="B14" s="17">
        <v>3</v>
      </c>
      <c r="C14" s="199" t="str">
        <f>VLOOKUP(B14,Começo!A:D,3,0)</f>
        <v>História</v>
      </c>
      <c r="D14" s="199"/>
      <c r="E14" s="199"/>
      <c r="F14" s="199"/>
      <c r="G14" s="194">
        <f>IFERROR(COUNTIF(Tabela111[#This Row],"sim"),"")*Começo!D16+SUM(Tabela111[#This Row])</f>
        <v>0</v>
      </c>
      <c r="H14" s="194"/>
      <c r="I14" s="194"/>
      <c r="J14" s="194"/>
      <c r="K14" s="158" t="s">
        <v>92</v>
      </c>
      <c r="L14" s="158" t="s">
        <v>92</v>
      </c>
      <c r="M14" s="158" t="s">
        <v>92</v>
      </c>
      <c r="N14" s="158" t="s">
        <v>92</v>
      </c>
      <c r="O14" s="158" t="s">
        <v>92</v>
      </c>
      <c r="P14" s="158" t="s">
        <v>92</v>
      </c>
      <c r="Q14" s="158" t="s">
        <v>92</v>
      </c>
      <c r="R14" s="158" t="s">
        <v>92</v>
      </c>
      <c r="S14" s="158" t="s">
        <v>92</v>
      </c>
      <c r="T14" s="158" t="s">
        <v>92</v>
      </c>
      <c r="U14" s="158" t="s">
        <v>92</v>
      </c>
      <c r="V14" s="158" t="s">
        <v>92</v>
      </c>
      <c r="W14" s="158" t="s">
        <v>92</v>
      </c>
      <c r="X14" s="158" t="s">
        <v>92</v>
      </c>
      <c r="Y14" s="158" t="s">
        <v>92</v>
      </c>
      <c r="Z14" s="158" t="s">
        <v>92</v>
      </c>
      <c r="AA14" s="158" t="s">
        <v>92</v>
      </c>
      <c r="AB14" s="158" t="s">
        <v>92</v>
      </c>
      <c r="AC14" s="158" t="s">
        <v>92</v>
      </c>
      <c r="AD14" s="158" t="s">
        <v>92</v>
      </c>
      <c r="AE14" s="158" t="s">
        <v>92</v>
      </c>
      <c r="AF14" s="158" t="s">
        <v>92</v>
      </c>
      <c r="AG14" s="158" t="s">
        <v>92</v>
      </c>
      <c r="AH14" s="158" t="s">
        <v>92</v>
      </c>
      <c r="AI14" s="158" t="s">
        <v>92</v>
      </c>
      <c r="AJ14" s="158" t="s">
        <v>92</v>
      </c>
      <c r="AK14" s="158" t="s">
        <v>92</v>
      </c>
      <c r="AL14" s="158" t="s">
        <v>92</v>
      </c>
      <c r="AM14" s="158" t="s">
        <v>92</v>
      </c>
      <c r="AN14" s="158" t="s">
        <v>92</v>
      </c>
      <c r="AO14" s="158" t="s">
        <v>92</v>
      </c>
    </row>
    <row r="15" spans="1:41" ht="26.1" customHeight="1" thickBot="1" x14ac:dyDescent="0.3">
      <c r="A15" s="1" t="s">
        <v>89</v>
      </c>
      <c r="B15" s="17">
        <v>4</v>
      </c>
      <c r="C15" s="199" t="str">
        <f>VLOOKUP(B15,Começo!A:D,3,0)</f>
        <v>Física</v>
      </c>
      <c r="D15" s="199"/>
      <c r="E15" s="199"/>
      <c r="F15" s="199"/>
      <c r="G15" s="194">
        <f>IFERROR(COUNTIF(Tabela111[#This Row],"sim"),"")*Começo!D17+SUM(Tabela111[#This Row])</f>
        <v>0</v>
      </c>
      <c r="H15" s="194"/>
      <c r="I15" s="194"/>
      <c r="J15" s="194"/>
      <c r="K15" s="158" t="s">
        <v>92</v>
      </c>
      <c r="L15" s="158" t="s">
        <v>92</v>
      </c>
      <c r="M15" s="158" t="s">
        <v>92</v>
      </c>
      <c r="N15" s="158" t="s">
        <v>92</v>
      </c>
      <c r="O15" s="158" t="s">
        <v>92</v>
      </c>
      <c r="P15" s="158" t="s">
        <v>92</v>
      </c>
      <c r="Q15" s="158" t="s">
        <v>92</v>
      </c>
      <c r="R15" s="158" t="s">
        <v>92</v>
      </c>
      <c r="S15" s="158" t="s">
        <v>92</v>
      </c>
      <c r="T15" s="158" t="s">
        <v>92</v>
      </c>
      <c r="U15" s="158" t="s">
        <v>92</v>
      </c>
      <c r="V15" s="158" t="s">
        <v>92</v>
      </c>
      <c r="W15" s="158" t="s">
        <v>92</v>
      </c>
      <c r="X15" s="158" t="s">
        <v>92</v>
      </c>
      <c r="Y15" s="158" t="s">
        <v>92</v>
      </c>
      <c r="Z15" s="158" t="s">
        <v>92</v>
      </c>
      <c r="AA15" s="158" t="s">
        <v>92</v>
      </c>
      <c r="AB15" s="158" t="s">
        <v>92</v>
      </c>
      <c r="AC15" s="158" t="s">
        <v>92</v>
      </c>
      <c r="AD15" s="158" t="s">
        <v>92</v>
      </c>
      <c r="AE15" s="158" t="s">
        <v>92</v>
      </c>
      <c r="AF15" s="158" t="s">
        <v>92</v>
      </c>
      <c r="AG15" s="158" t="s">
        <v>92</v>
      </c>
      <c r="AH15" s="158" t="s">
        <v>92</v>
      </c>
      <c r="AI15" s="158" t="s">
        <v>92</v>
      </c>
      <c r="AJ15" s="158" t="s">
        <v>92</v>
      </c>
      <c r="AK15" s="158" t="s">
        <v>92</v>
      </c>
      <c r="AL15" s="158" t="s">
        <v>92</v>
      </c>
      <c r="AM15" s="158" t="s">
        <v>92</v>
      </c>
      <c r="AN15" s="158" t="s">
        <v>92</v>
      </c>
      <c r="AO15" s="158" t="s">
        <v>92</v>
      </c>
    </row>
    <row r="16" spans="1:41" ht="26.1" customHeight="1" thickBot="1" x14ac:dyDescent="0.3">
      <c r="A16" s="1" t="s">
        <v>89</v>
      </c>
      <c r="B16" s="17">
        <v>5</v>
      </c>
      <c r="C16" s="199" t="str">
        <f>VLOOKUP(B16,Começo!A:D,3,0)</f>
        <v>Quimíca</v>
      </c>
      <c r="D16" s="199"/>
      <c r="E16" s="199"/>
      <c r="F16" s="199"/>
      <c r="G16" s="194">
        <f>IFERROR(COUNTIF(Tabela111[#This Row],"sim"),"")*Começo!D18+SUM(Tabela111[#This Row])</f>
        <v>0</v>
      </c>
      <c r="H16" s="194"/>
      <c r="I16" s="194"/>
      <c r="J16" s="194"/>
      <c r="K16" s="158" t="s">
        <v>92</v>
      </c>
      <c r="L16" s="158" t="s">
        <v>92</v>
      </c>
      <c r="M16" s="158" t="s">
        <v>92</v>
      </c>
      <c r="N16" s="158" t="s">
        <v>92</v>
      </c>
      <c r="O16" s="158" t="s">
        <v>92</v>
      </c>
      <c r="P16" s="158" t="s">
        <v>92</v>
      </c>
      <c r="Q16" s="158" t="s">
        <v>92</v>
      </c>
      <c r="R16" s="158" t="s">
        <v>92</v>
      </c>
      <c r="S16" s="158" t="s">
        <v>92</v>
      </c>
      <c r="T16" s="158" t="s">
        <v>92</v>
      </c>
      <c r="U16" s="158" t="s">
        <v>92</v>
      </c>
      <c r="V16" s="158" t="s">
        <v>92</v>
      </c>
      <c r="W16" s="158" t="s">
        <v>92</v>
      </c>
      <c r="X16" s="158" t="s">
        <v>92</v>
      </c>
      <c r="Y16" s="158" t="s">
        <v>92</v>
      </c>
      <c r="Z16" s="158" t="s">
        <v>92</v>
      </c>
      <c r="AA16" s="158" t="s">
        <v>92</v>
      </c>
      <c r="AB16" s="158" t="s">
        <v>92</v>
      </c>
      <c r="AC16" s="158" t="s">
        <v>92</v>
      </c>
      <c r="AD16" s="158" t="s">
        <v>92</v>
      </c>
      <c r="AE16" s="158" t="s">
        <v>92</v>
      </c>
      <c r="AF16" s="158" t="s">
        <v>92</v>
      </c>
      <c r="AG16" s="158" t="s">
        <v>92</v>
      </c>
      <c r="AH16" s="158" t="s">
        <v>92</v>
      </c>
      <c r="AI16" s="158" t="s">
        <v>92</v>
      </c>
      <c r="AJ16" s="158" t="s">
        <v>92</v>
      </c>
      <c r="AK16" s="158" t="s">
        <v>92</v>
      </c>
      <c r="AL16" s="158" t="s">
        <v>92</v>
      </c>
      <c r="AM16" s="158" t="s">
        <v>92</v>
      </c>
      <c r="AN16" s="158" t="s">
        <v>92</v>
      </c>
      <c r="AO16" s="158" t="s">
        <v>92</v>
      </c>
    </row>
    <row r="17" spans="1:41" ht="26.1" customHeight="1" thickBot="1" x14ac:dyDescent="0.3">
      <c r="A17" s="1" t="s">
        <v>89</v>
      </c>
      <c r="B17" s="17">
        <v>6</v>
      </c>
      <c r="C17" s="199" t="str">
        <f>VLOOKUP(B17,Começo!A:D,3,0)</f>
        <v>Legislação</v>
      </c>
      <c r="D17" s="199"/>
      <c r="E17" s="199"/>
      <c r="F17" s="199"/>
      <c r="G17" s="194">
        <f>IFERROR(COUNTIF(Tabela111[#This Row],"sim"),"")*Começo!D19+SUM(Tabela111[#This Row])</f>
        <v>0</v>
      </c>
      <c r="H17" s="194"/>
      <c r="I17" s="194"/>
      <c r="J17" s="194"/>
      <c r="K17" s="158" t="s">
        <v>92</v>
      </c>
      <c r="L17" s="158" t="s">
        <v>92</v>
      </c>
      <c r="M17" s="158" t="s">
        <v>92</v>
      </c>
      <c r="N17" s="158" t="s">
        <v>92</v>
      </c>
      <c r="O17" s="158" t="s">
        <v>92</v>
      </c>
      <c r="P17" s="158" t="s">
        <v>92</v>
      </c>
      <c r="Q17" s="158" t="s">
        <v>92</v>
      </c>
      <c r="R17" s="158" t="s">
        <v>92</v>
      </c>
      <c r="S17" s="158" t="s">
        <v>92</v>
      </c>
      <c r="T17" s="158" t="s">
        <v>92</v>
      </c>
      <c r="U17" s="158" t="s">
        <v>92</v>
      </c>
      <c r="V17" s="158" t="s">
        <v>92</v>
      </c>
      <c r="W17" s="158" t="s">
        <v>92</v>
      </c>
      <c r="X17" s="158" t="s">
        <v>92</v>
      </c>
      <c r="Y17" s="158" t="s">
        <v>92</v>
      </c>
      <c r="Z17" s="158" t="s">
        <v>92</v>
      </c>
      <c r="AA17" s="158" t="s">
        <v>92</v>
      </c>
      <c r="AB17" s="158" t="s">
        <v>92</v>
      </c>
      <c r="AC17" s="158" t="s">
        <v>92</v>
      </c>
      <c r="AD17" s="158" t="s">
        <v>92</v>
      </c>
      <c r="AE17" s="158" t="s">
        <v>92</v>
      </c>
      <c r="AF17" s="158" t="s">
        <v>92</v>
      </c>
      <c r="AG17" s="158" t="s">
        <v>92</v>
      </c>
      <c r="AH17" s="158" t="s">
        <v>92</v>
      </c>
      <c r="AI17" s="158" t="s">
        <v>92</v>
      </c>
      <c r="AJ17" s="158" t="s">
        <v>92</v>
      </c>
      <c r="AK17" s="158" t="s">
        <v>92</v>
      </c>
      <c r="AL17" s="158" t="s">
        <v>92</v>
      </c>
      <c r="AM17" s="158" t="s">
        <v>92</v>
      </c>
      <c r="AN17" s="158" t="s">
        <v>92</v>
      </c>
      <c r="AO17" s="158" t="s">
        <v>92</v>
      </c>
    </row>
    <row r="18" spans="1:41" ht="26.1" customHeight="1" thickBot="1" x14ac:dyDescent="0.3">
      <c r="A18" s="1" t="s">
        <v>89</v>
      </c>
      <c r="B18" s="17">
        <v>7</v>
      </c>
      <c r="C18" s="199" t="str">
        <f>VLOOKUP(B18,Começo!A:D,3,0)</f>
        <v>Processo Penal</v>
      </c>
      <c r="D18" s="199"/>
      <c r="E18" s="199"/>
      <c r="F18" s="199"/>
      <c r="G18" s="194">
        <f>IFERROR(COUNTIF(Tabela111[#This Row],"sim"),"")*Começo!D20+SUM(Tabela111[#This Row])</f>
        <v>0</v>
      </c>
      <c r="H18" s="194"/>
      <c r="I18" s="194"/>
      <c r="J18" s="194"/>
      <c r="K18" s="158" t="s">
        <v>92</v>
      </c>
      <c r="L18" s="158" t="s">
        <v>92</v>
      </c>
      <c r="M18" s="158" t="s">
        <v>92</v>
      </c>
      <c r="N18" s="158" t="s">
        <v>92</v>
      </c>
      <c r="O18" s="158" t="s">
        <v>92</v>
      </c>
      <c r="P18" s="158" t="s">
        <v>92</v>
      </c>
      <c r="Q18" s="158" t="s">
        <v>92</v>
      </c>
      <c r="R18" s="158" t="s">
        <v>92</v>
      </c>
      <c r="S18" s="158" t="s">
        <v>92</v>
      </c>
      <c r="T18" s="158" t="s">
        <v>92</v>
      </c>
      <c r="U18" s="158" t="s">
        <v>92</v>
      </c>
      <c r="V18" s="158" t="s">
        <v>92</v>
      </c>
      <c r="W18" s="158" t="s">
        <v>92</v>
      </c>
      <c r="X18" s="158" t="s">
        <v>92</v>
      </c>
      <c r="Y18" s="158" t="s">
        <v>92</v>
      </c>
      <c r="Z18" s="158" t="s">
        <v>92</v>
      </c>
      <c r="AA18" s="158" t="s">
        <v>92</v>
      </c>
      <c r="AB18" s="158" t="s">
        <v>92</v>
      </c>
      <c r="AC18" s="158" t="s">
        <v>92</v>
      </c>
      <c r="AD18" s="158" t="s">
        <v>92</v>
      </c>
      <c r="AE18" s="158" t="s">
        <v>92</v>
      </c>
      <c r="AF18" s="158" t="s">
        <v>92</v>
      </c>
      <c r="AG18" s="158" t="s">
        <v>92</v>
      </c>
      <c r="AH18" s="158" t="s">
        <v>92</v>
      </c>
      <c r="AI18" s="158" t="s">
        <v>92</v>
      </c>
      <c r="AJ18" s="158" t="s">
        <v>92</v>
      </c>
      <c r="AK18" s="158" t="s">
        <v>92</v>
      </c>
      <c r="AL18" s="158" t="s">
        <v>92</v>
      </c>
      <c r="AM18" s="158" t="s">
        <v>92</v>
      </c>
      <c r="AN18" s="158" t="s">
        <v>92</v>
      </c>
      <c r="AO18" s="158" t="s">
        <v>92</v>
      </c>
    </row>
    <row r="19" spans="1:41" ht="26.1" customHeight="1" thickBot="1" x14ac:dyDescent="0.3">
      <c r="A19" s="1" t="s">
        <v>89</v>
      </c>
      <c r="B19" s="17">
        <v>8</v>
      </c>
      <c r="C19" s="199" t="str">
        <f>VLOOKUP(B19,Começo!A:D,3,0)</f>
        <v>Direito Administrativo</v>
      </c>
      <c r="D19" s="199"/>
      <c r="E19" s="199"/>
      <c r="F19" s="199"/>
      <c r="G19" s="194">
        <f>IFERROR(COUNTIF(Tabela111[#This Row],"sim"),"")*Começo!D21+SUM(Tabela111[#This Row])</f>
        <v>0</v>
      </c>
      <c r="H19" s="194"/>
      <c r="I19" s="194"/>
      <c r="J19" s="194"/>
      <c r="K19" s="158" t="s">
        <v>92</v>
      </c>
      <c r="L19" s="158" t="s">
        <v>92</v>
      </c>
      <c r="M19" s="158" t="s">
        <v>92</v>
      </c>
      <c r="N19" s="158" t="s">
        <v>92</v>
      </c>
      <c r="O19" s="158" t="s">
        <v>92</v>
      </c>
      <c r="P19" s="158" t="s">
        <v>92</v>
      </c>
      <c r="Q19" s="158" t="s">
        <v>92</v>
      </c>
      <c r="R19" s="158" t="s">
        <v>92</v>
      </c>
      <c r="S19" s="158" t="s">
        <v>92</v>
      </c>
      <c r="T19" s="158" t="s">
        <v>92</v>
      </c>
      <c r="U19" s="158" t="s">
        <v>92</v>
      </c>
      <c r="V19" s="158" t="s">
        <v>92</v>
      </c>
      <c r="W19" s="158" t="s">
        <v>92</v>
      </c>
      <c r="X19" s="158" t="s">
        <v>92</v>
      </c>
      <c r="Y19" s="158" t="s">
        <v>92</v>
      </c>
      <c r="Z19" s="158" t="s">
        <v>92</v>
      </c>
      <c r="AA19" s="158" t="s">
        <v>92</v>
      </c>
      <c r="AB19" s="158" t="s">
        <v>92</v>
      </c>
      <c r="AC19" s="158" t="s">
        <v>92</v>
      </c>
      <c r="AD19" s="158" t="s">
        <v>92</v>
      </c>
      <c r="AE19" s="158" t="s">
        <v>92</v>
      </c>
      <c r="AF19" s="158" t="s">
        <v>92</v>
      </c>
      <c r="AG19" s="158" t="s">
        <v>92</v>
      </c>
      <c r="AH19" s="158" t="s">
        <v>92</v>
      </c>
      <c r="AI19" s="158" t="s">
        <v>92</v>
      </c>
      <c r="AJ19" s="158" t="s">
        <v>92</v>
      </c>
      <c r="AK19" s="158" t="s">
        <v>92</v>
      </c>
      <c r="AL19" s="158" t="s">
        <v>92</v>
      </c>
      <c r="AM19" s="158" t="s">
        <v>92</v>
      </c>
      <c r="AN19" s="158" t="s">
        <v>92</v>
      </c>
      <c r="AO19" s="158" t="s">
        <v>92</v>
      </c>
    </row>
    <row r="20" spans="1:41" ht="26.1" customHeight="1" thickBot="1" x14ac:dyDescent="0.3">
      <c r="A20" s="1" t="s">
        <v>89</v>
      </c>
      <c r="B20" s="17">
        <v>9</v>
      </c>
      <c r="C20" s="199" t="str">
        <f>VLOOKUP(B20,Começo!A:D,3,0)</f>
        <v>Direito Tributário</v>
      </c>
      <c r="D20" s="199"/>
      <c r="E20" s="199"/>
      <c r="F20" s="199"/>
      <c r="G20" s="194">
        <f>IFERROR(COUNTIF(Tabela111[#This Row],"sim"),"")*Começo!D22+SUM(Tabela111[#This Row])</f>
        <v>0</v>
      </c>
      <c r="H20" s="194"/>
      <c r="I20" s="194"/>
      <c r="J20" s="194"/>
      <c r="K20" s="158" t="s">
        <v>92</v>
      </c>
      <c r="L20" s="158" t="s">
        <v>92</v>
      </c>
      <c r="M20" s="158" t="s">
        <v>92</v>
      </c>
      <c r="N20" s="158" t="s">
        <v>92</v>
      </c>
      <c r="O20" s="158" t="s">
        <v>92</v>
      </c>
      <c r="P20" s="158" t="s">
        <v>92</v>
      </c>
      <c r="Q20" s="158" t="s">
        <v>92</v>
      </c>
      <c r="R20" s="158" t="s">
        <v>92</v>
      </c>
      <c r="S20" s="158" t="s">
        <v>92</v>
      </c>
      <c r="T20" s="158" t="s">
        <v>92</v>
      </c>
      <c r="U20" s="158" t="s">
        <v>92</v>
      </c>
      <c r="V20" s="158" t="s">
        <v>92</v>
      </c>
      <c r="W20" s="158" t="s">
        <v>92</v>
      </c>
      <c r="X20" s="158" t="s">
        <v>92</v>
      </c>
      <c r="Y20" s="158" t="s">
        <v>92</v>
      </c>
      <c r="Z20" s="158" t="s">
        <v>92</v>
      </c>
      <c r="AA20" s="158" t="s">
        <v>92</v>
      </c>
      <c r="AB20" s="158" t="s">
        <v>92</v>
      </c>
      <c r="AC20" s="158" t="s">
        <v>92</v>
      </c>
      <c r="AD20" s="158" t="s">
        <v>92</v>
      </c>
      <c r="AE20" s="158" t="s">
        <v>92</v>
      </c>
      <c r="AF20" s="158" t="s">
        <v>92</v>
      </c>
      <c r="AG20" s="158" t="s">
        <v>92</v>
      </c>
      <c r="AH20" s="158" t="s">
        <v>92</v>
      </c>
      <c r="AI20" s="158" t="s">
        <v>92</v>
      </c>
      <c r="AJ20" s="158" t="s">
        <v>92</v>
      </c>
      <c r="AK20" s="158" t="s">
        <v>92</v>
      </c>
      <c r="AL20" s="158" t="s">
        <v>92</v>
      </c>
      <c r="AM20" s="158" t="s">
        <v>92</v>
      </c>
      <c r="AN20" s="158" t="s">
        <v>92</v>
      </c>
      <c r="AO20" s="158" t="s">
        <v>92</v>
      </c>
    </row>
    <row r="21" spans="1:41" ht="26.1" customHeight="1" thickBot="1" x14ac:dyDescent="0.3">
      <c r="A21" s="1" t="s">
        <v>89</v>
      </c>
      <c r="B21" s="17">
        <v>10</v>
      </c>
      <c r="C21" s="199" t="str">
        <f>VLOOKUP(B21,Começo!A:D,3,0)</f>
        <v>Inglês</v>
      </c>
      <c r="D21" s="199"/>
      <c r="E21" s="199"/>
      <c r="F21" s="199"/>
      <c r="G21" s="194">
        <f>IFERROR(COUNTIF(Tabela111[#This Row],"sim"),"")*Começo!D23+SUM(Tabela111[#This Row])</f>
        <v>0</v>
      </c>
      <c r="H21" s="194"/>
      <c r="I21" s="194"/>
      <c r="J21" s="194"/>
      <c r="K21" s="158" t="s">
        <v>92</v>
      </c>
      <c r="L21" s="158" t="s">
        <v>92</v>
      </c>
      <c r="M21" s="158" t="s">
        <v>92</v>
      </c>
      <c r="N21" s="158" t="s">
        <v>92</v>
      </c>
      <c r="O21" s="158" t="s">
        <v>92</v>
      </c>
      <c r="P21" s="158" t="s">
        <v>92</v>
      </c>
      <c r="Q21" s="158" t="s">
        <v>92</v>
      </c>
      <c r="R21" s="158" t="s">
        <v>92</v>
      </c>
      <c r="S21" s="158" t="s">
        <v>92</v>
      </c>
      <c r="T21" s="158" t="s">
        <v>92</v>
      </c>
      <c r="U21" s="158" t="s">
        <v>92</v>
      </c>
      <c r="V21" s="158" t="s">
        <v>92</v>
      </c>
      <c r="W21" s="158" t="s">
        <v>92</v>
      </c>
      <c r="X21" s="158" t="s">
        <v>92</v>
      </c>
      <c r="Y21" s="158" t="s">
        <v>92</v>
      </c>
      <c r="Z21" s="158" t="s">
        <v>92</v>
      </c>
      <c r="AA21" s="158" t="s">
        <v>92</v>
      </c>
      <c r="AB21" s="158" t="s">
        <v>92</v>
      </c>
      <c r="AC21" s="158" t="s">
        <v>92</v>
      </c>
      <c r="AD21" s="158" t="s">
        <v>92</v>
      </c>
      <c r="AE21" s="158" t="s">
        <v>92</v>
      </c>
      <c r="AF21" s="158" t="s">
        <v>92</v>
      </c>
      <c r="AG21" s="158" t="s">
        <v>92</v>
      </c>
      <c r="AH21" s="158" t="s">
        <v>92</v>
      </c>
      <c r="AI21" s="158" t="s">
        <v>92</v>
      </c>
      <c r="AJ21" s="158" t="s">
        <v>92</v>
      </c>
      <c r="AK21" s="158" t="s">
        <v>92</v>
      </c>
      <c r="AL21" s="158" t="s">
        <v>92</v>
      </c>
      <c r="AM21" s="158" t="s">
        <v>92</v>
      </c>
      <c r="AN21" s="158" t="s">
        <v>92</v>
      </c>
      <c r="AO21" s="158" t="s">
        <v>92</v>
      </c>
    </row>
    <row r="22" spans="1:41" ht="26.1" customHeight="1" thickBot="1" x14ac:dyDescent="0.3">
      <c r="A22" s="1" t="s">
        <v>89</v>
      </c>
      <c r="B22" s="17">
        <v>11</v>
      </c>
      <c r="C22" s="199" t="str">
        <f>VLOOKUP(B22,Começo!A:D,3,0)</f>
        <v>Análise de Sistemas</v>
      </c>
      <c r="D22" s="199"/>
      <c r="E22" s="199"/>
      <c r="F22" s="199"/>
      <c r="G22" s="194">
        <f>IFERROR(COUNTIF(Tabela111[#This Row],"sim"),"")*Começo!D24+SUM(Tabela111[#This Row])</f>
        <v>0</v>
      </c>
      <c r="H22" s="194"/>
      <c r="I22" s="194"/>
      <c r="J22" s="194"/>
      <c r="K22" s="158" t="s">
        <v>92</v>
      </c>
      <c r="L22" s="158" t="s">
        <v>92</v>
      </c>
      <c r="M22" s="158" t="s">
        <v>92</v>
      </c>
      <c r="N22" s="158" t="s">
        <v>92</v>
      </c>
      <c r="O22" s="158" t="s">
        <v>92</v>
      </c>
      <c r="P22" s="158" t="s">
        <v>92</v>
      </c>
      <c r="Q22" s="158" t="s">
        <v>92</v>
      </c>
      <c r="R22" s="158" t="s">
        <v>92</v>
      </c>
      <c r="S22" s="158" t="s">
        <v>92</v>
      </c>
      <c r="T22" s="158" t="s">
        <v>92</v>
      </c>
      <c r="U22" s="158" t="s">
        <v>92</v>
      </c>
      <c r="V22" s="158" t="s">
        <v>92</v>
      </c>
      <c r="W22" s="158" t="s">
        <v>92</v>
      </c>
      <c r="X22" s="158" t="s">
        <v>92</v>
      </c>
      <c r="Y22" s="158" t="s">
        <v>92</v>
      </c>
      <c r="Z22" s="158" t="s">
        <v>92</v>
      </c>
      <c r="AA22" s="158" t="s">
        <v>92</v>
      </c>
      <c r="AB22" s="158" t="s">
        <v>92</v>
      </c>
      <c r="AC22" s="158" t="s">
        <v>92</v>
      </c>
      <c r="AD22" s="158" t="s">
        <v>92</v>
      </c>
      <c r="AE22" s="158" t="s">
        <v>92</v>
      </c>
      <c r="AF22" s="158" t="s">
        <v>92</v>
      </c>
      <c r="AG22" s="158" t="s">
        <v>92</v>
      </c>
      <c r="AH22" s="158" t="s">
        <v>92</v>
      </c>
      <c r="AI22" s="158" t="s">
        <v>92</v>
      </c>
      <c r="AJ22" s="158" t="s">
        <v>92</v>
      </c>
      <c r="AK22" s="158" t="s">
        <v>92</v>
      </c>
      <c r="AL22" s="158" t="s">
        <v>92</v>
      </c>
      <c r="AM22" s="158" t="s">
        <v>92</v>
      </c>
      <c r="AN22" s="158" t="s">
        <v>92</v>
      </c>
      <c r="AO22" s="158" t="s">
        <v>92</v>
      </c>
    </row>
    <row r="23" spans="1:41" ht="26.1" customHeight="1" thickBot="1" x14ac:dyDescent="0.3">
      <c r="A23" s="1" t="s">
        <v>89</v>
      </c>
      <c r="B23" s="17">
        <v>12</v>
      </c>
      <c r="C23" s="199" t="str">
        <f>VLOOKUP(B23,Começo!A:D,3,0)</f>
        <v>Direito Legislativo</v>
      </c>
      <c r="D23" s="199"/>
      <c r="E23" s="199"/>
      <c r="F23" s="199"/>
      <c r="G23" s="194">
        <f>IFERROR(COUNTIF(Tabela111[#This Row],"sim"),"")*Começo!D25+SUM(Tabela111[#This Row])</f>
        <v>0</v>
      </c>
      <c r="H23" s="194"/>
      <c r="I23" s="194"/>
      <c r="J23" s="194"/>
      <c r="K23" s="158" t="s">
        <v>92</v>
      </c>
      <c r="L23" s="158" t="s">
        <v>92</v>
      </c>
      <c r="M23" s="158" t="s">
        <v>92</v>
      </c>
      <c r="N23" s="158" t="s">
        <v>92</v>
      </c>
      <c r="O23" s="158" t="s">
        <v>92</v>
      </c>
      <c r="P23" s="158" t="s">
        <v>92</v>
      </c>
      <c r="Q23" s="158" t="s">
        <v>92</v>
      </c>
      <c r="R23" s="158" t="s">
        <v>92</v>
      </c>
      <c r="S23" s="158" t="s">
        <v>92</v>
      </c>
      <c r="T23" s="158" t="s">
        <v>92</v>
      </c>
      <c r="U23" s="158" t="s">
        <v>92</v>
      </c>
      <c r="V23" s="158" t="s">
        <v>92</v>
      </c>
      <c r="W23" s="158" t="s">
        <v>92</v>
      </c>
      <c r="X23" s="158" t="s">
        <v>92</v>
      </c>
      <c r="Y23" s="158" t="s">
        <v>92</v>
      </c>
      <c r="Z23" s="158" t="s">
        <v>92</v>
      </c>
      <c r="AA23" s="158" t="s">
        <v>92</v>
      </c>
      <c r="AB23" s="158" t="s">
        <v>92</v>
      </c>
      <c r="AC23" s="158" t="s">
        <v>92</v>
      </c>
      <c r="AD23" s="158" t="s">
        <v>92</v>
      </c>
      <c r="AE23" s="158" t="s">
        <v>92</v>
      </c>
      <c r="AF23" s="158" t="s">
        <v>92</v>
      </c>
      <c r="AG23" s="158" t="s">
        <v>92</v>
      </c>
      <c r="AH23" s="158" t="s">
        <v>92</v>
      </c>
      <c r="AI23" s="158" t="s">
        <v>92</v>
      </c>
      <c r="AJ23" s="158" t="s">
        <v>92</v>
      </c>
      <c r="AK23" s="158" t="s">
        <v>92</v>
      </c>
      <c r="AL23" s="158" t="s">
        <v>92</v>
      </c>
      <c r="AM23" s="158" t="s">
        <v>92</v>
      </c>
      <c r="AN23" s="158" t="s">
        <v>92</v>
      </c>
      <c r="AO23" s="158" t="s">
        <v>92</v>
      </c>
    </row>
    <row r="24" spans="1:41" ht="26.1" customHeight="1" thickBot="1" x14ac:dyDescent="0.3">
      <c r="A24" s="1" t="s">
        <v>89</v>
      </c>
      <c r="B24" s="17">
        <v>13</v>
      </c>
      <c r="C24" s="199" t="str">
        <f>VLOOKUP(B24,Começo!A:D,3,0)</f>
        <v>Mecânica dos Fluídos</v>
      </c>
      <c r="D24" s="199"/>
      <c r="E24" s="199"/>
      <c r="F24" s="199"/>
      <c r="G24" s="194">
        <f>IFERROR(COUNTIF(Tabela111[#This Row],"sim"),"")*Começo!D26+SUM(Tabela111[#This Row])</f>
        <v>0</v>
      </c>
      <c r="H24" s="194"/>
      <c r="I24" s="194"/>
      <c r="J24" s="194"/>
      <c r="K24" s="158" t="s">
        <v>92</v>
      </c>
      <c r="L24" s="158" t="s">
        <v>92</v>
      </c>
      <c r="M24" s="158" t="s">
        <v>92</v>
      </c>
      <c r="N24" s="158" t="s">
        <v>92</v>
      </c>
      <c r="O24" s="158" t="s">
        <v>92</v>
      </c>
      <c r="P24" s="158" t="s">
        <v>92</v>
      </c>
      <c r="Q24" s="158" t="s">
        <v>92</v>
      </c>
      <c r="R24" s="158" t="s">
        <v>92</v>
      </c>
      <c r="S24" s="158" t="s">
        <v>92</v>
      </c>
      <c r="T24" s="158" t="s">
        <v>92</v>
      </c>
      <c r="U24" s="158" t="s">
        <v>92</v>
      </c>
      <c r="V24" s="158" t="s">
        <v>92</v>
      </c>
      <c r="W24" s="158" t="s">
        <v>92</v>
      </c>
      <c r="X24" s="158" t="s">
        <v>92</v>
      </c>
      <c r="Y24" s="158" t="s">
        <v>92</v>
      </c>
      <c r="Z24" s="158" t="s">
        <v>92</v>
      </c>
      <c r="AA24" s="158" t="s">
        <v>92</v>
      </c>
      <c r="AB24" s="158" t="s">
        <v>92</v>
      </c>
      <c r="AC24" s="158" t="s">
        <v>92</v>
      </c>
      <c r="AD24" s="158" t="s">
        <v>92</v>
      </c>
      <c r="AE24" s="158" t="s">
        <v>92</v>
      </c>
      <c r="AF24" s="158" t="s">
        <v>92</v>
      </c>
      <c r="AG24" s="158" t="s">
        <v>92</v>
      </c>
      <c r="AH24" s="158" t="s">
        <v>92</v>
      </c>
      <c r="AI24" s="158" t="s">
        <v>92</v>
      </c>
      <c r="AJ24" s="158" t="s">
        <v>92</v>
      </c>
      <c r="AK24" s="158" t="s">
        <v>92</v>
      </c>
      <c r="AL24" s="158" t="s">
        <v>92</v>
      </c>
      <c r="AM24" s="158" t="s">
        <v>92</v>
      </c>
      <c r="AN24" s="158" t="s">
        <v>92</v>
      </c>
      <c r="AO24" s="158" t="s">
        <v>92</v>
      </c>
    </row>
    <row r="25" spans="1:41" ht="26.1" customHeight="1" thickBot="1" x14ac:dyDescent="0.3">
      <c r="A25" s="1" t="s">
        <v>89</v>
      </c>
      <c r="B25" s="17">
        <v>14</v>
      </c>
      <c r="C25" s="199" t="str">
        <f>VLOOKUP(B25,Começo!A:D,3,0)</f>
        <v>IoT</v>
      </c>
      <c r="D25" s="199"/>
      <c r="E25" s="199"/>
      <c r="F25" s="199"/>
      <c r="G25" s="194">
        <f>IFERROR(COUNTIF(Tabela111[#This Row],"sim"),"")*Começo!D27+SUM(Tabela111[#This Row])</f>
        <v>0</v>
      </c>
      <c r="H25" s="194"/>
      <c r="I25" s="194"/>
      <c r="J25" s="194"/>
      <c r="K25" s="158" t="s">
        <v>92</v>
      </c>
      <c r="L25" s="158" t="s">
        <v>92</v>
      </c>
      <c r="M25" s="158" t="s">
        <v>92</v>
      </c>
      <c r="N25" s="158" t="s">
        <v>92</v>
      </c>
      <c r="O25" s="158" t="s">
        <v>92</v>
      </c>
      <c r="P25" s="158" t="s">
        <v>92</v>
      </c>
      <c r="Q25" s="158" t="s">
        <v>92</v>
      </c>
      <c r="R25" s="158" t="s">
        <v>92</v>
      </c>
      <c r="S25" s="158" t="s">
        <v>92</v>
      </c>
      <c r="T25" s="158" t="s">
        <v>92</v>
      </c>
      <c r="U25" s="158" t="s">
        <v>92</v>
      </c>
      <c r="V25" s="158" t="s">
        <v>92</v>
      </c>
      <c r="W25" s="158" t="s">
        <v>92</v>
      </c>
      <c r="X25" s="158" t="s">
        <v>92</v>
      </c>
      <c r="Y25" s="158" t="s">
        <v>92</v>
      </c>
      <c r="Z25" s="158" t="s">
        <v>92</v>
      </c>
      <c r="AA25" s="158" t="s">
        <v>92</v>
      </c>
      <c r="AB25" s="158" t="s">
        <v>92</v>
      </c>
      <c r="AC25" s="158" t="s">
        <v>92</v>
      </c>
      <c r="AD25" s="158" t="s">
        <v>92</v>
      </c>
      <c r="AE25" s="158" t="s">
        <v>92</v>
      </c>
      <c r="AF25" s="158" t="s">
        <v>92</v>
      </c>
      <c r="AG25" s="158" t="s">
        <v>92</v>
      </c>
      <c r="AH25" s="158" t="s">
        <v>92</v>
      </c>
      <c r="AI25" s="158" t="s">
        <v>92</v>
      </c>
      <c r="AJ25" s="158" t="s">
        <v>92</v>
      </c>
      <c r="AK25" s="158" t="s">
        <v>92</v>
      </c>
      <c r="AL25" s="158" t="s">
        <v>92</v>
      </c>
      <c r="AM25" s="158" t="s">
        <v>92</v>
      </c>
      <c r="AN25" s="158" t="s">
        <v>92</v>
      </c>
      <c r="AO25" s="158" t="s">
        <v>92</v>
      </c>
    </row>
    <row r="26" spans="1:41" ht="26.1" customHeight="1" thickBot="1" x14ac:dyDescent="0.3">
      <c r="A26" s="1" t="s">
        <v>89</v>
      </c>
      <c r="B26" s="17">
        <v>15</v>
      </c>
      <c r="C26" s="199" t="str">
        <f>VLOOKUP(B26,Começo!A:D,3,0)</f>
        <v>Astrologia</v>
      </c>
      <c r="D26" s="199"/>
      <c r="E26" s="199"/>
      <c r="F26" s="199"/>
      <c r="G26" s="194">
        <f>IFERROR(COUNTIF(Tabela111[#This Row],"sim"),"")*Começo!D28+SUM(Tabela111[#This Row])</f>
        <v>0</v>
      </c>
      <c r="H26" s="194"/>
      <c r="I26" s="194"/>
      <c r="J26" s="194"/>
      <c r="K26" s="158" t="s">
        <v>92</v>
      </c>
      <c r="L26" s="158" t="s">
        <v>92</v>
      </c>
      <c r="M26" s="158" t="s">
        <v>92</v>
      </c>
      <c r="N26" s="158" t="s">
        <v>92</v>
      </c>
      <c r="O26" s="158" t="s">
        <v>92</v>
      </c>
      <c r="P26" s="158" t="s">
        <v>92</v>
      </c>
      <c r="Q26" s="158" t="s">
        <v>92</v>
      </c>
      <c r="R26" s="158" t="s">
        <v>92</v>
      </c>
      <c r="S26" s="158" t="s">
        <v>92</v>
      </c>
      <c r="T26" s="158" t="s">
        <v>92</v>
      </c>
      <c r="U26" s="158" t="s">
        <v>92</v>
      </c>
      <c r="V26" s="158" t="s">
        <v>92</v>
      </c>
      <c r="W26" s="158" t="s">
        <v>92</v>
      </c>
      <c r="X26" s="158" t="s">
        <v>92</v>
      </c>
      <c r="Y26" s="158" t="s">
        <v>92</v>
      </c>
      <c r="Z26" s="158" t="s">
        <v>92</v>
      </c>
      <c r="AA26" s="158" t="s">
        <v>92</v>
      </c>
      <c r="AB26" s="158" t="s">
        <v>92</v>
      </c>
      <c r="AC26" s="158" t="s">
        <v>92</v>
      </c>
      <c r="AD26" s="158" t="s">
        <v>92</v>
      </c>
      <c r="AE26" s="158" t="s">
        <v>92</v>
      </c>
      <c r="AF26" s="158" t="s">
        <v>92</v>
      </c>
      <c r="AG26" s="158" t="s">
        <v>92</v>
      </c>
      <c r="AH26" s="158" t="s">
        <v>92</v>
      </c>
      <c r="AI26" s="158" t="s">
        <v>92</v>
      </c>
      <c r="AJ26" s="158" t="s">
        <v>92</v>
      </c>
      <c r="AK26" s="158" t="s">
        <v>92</v>
      </c>
      <c r="AL26" s="158" t="s">
        <v>92</v>
      </c>
      <c r="AM26" s="158" t="s">
        <v>92</v>
      </c>
      <c r="AN26" s="158" t="s">
        <v>92</v>
      </c>
      <c r="AO26" s="158" t="s">
        <v>92</v>
      </c>
    </row>
    <row r="27" spans="1:41" ht="26.1" customHeight="1" thickBot="1" x14ac:dyDescent="0.3">
      <c r="A27" s="1" t="s">
        <v>89</v>
      </c>
      <c r="B27" s="17">
        <v>16</v>
      </c>
      <c r="C27" s="199" t="str">
        <f>VLOOKUP(B27,Começo!A:D,3,0)</f>
        <v>Colorimetria</v>
      </c>
      <c r="D27" s="199"/>
      <c r="E27" s="199"/>
      <c r="F27" s="199"/>
      <c r="G27" s="194">
        <f>IFERROR(COUNTIF(Tabela111[#This Row],"sim"),"")*Começo!D29+SUM(Tabela111[#This Row])</f>
        <v>0</v>
      </c>
      <c r="H27" s="194"/>
      <c r="I27" s="194"/>
      <c r="J27" s="194"/>
      <c r="K27" s="158" t="s">
        <v>92</v>
      </c>
      <c r="L27" s="158" t="s">
        <v>92</v>
      </c>
      <c r="M27" s="158" t="s">
        <v>92</v>
      </c>
      <c r="N27" s="158" t="s">
        <v>92</v>
      </c>
      <c r="O27" s="158" t="s">
        <v>92</v>
      </c>
      <c r="P27" s="158" t="s">
        <v>92</v>
      </c>
      <c r="Q27" s="158" t="s">
        <v>92</v>
      </c>
      <c r="R27" s="158" t="s">
        <v>92</v>
      </c>
      <c r="S27" s="158" t="s">
        <v>92</v>
      </c>
      <c r="T27" s="158" t="s">
        <v>92</v>
      </c>
      <c r="U27" s="158" t="s">
        <v>92</v>
      </c>
      <c r="V27" s="158" t="s">
        <v>92</v>
      </c>
      <c r="W27" s="158" t="s">
        <v>92</v>
      </c>
      <c r="X27" s="158" t="s">
        <v>92</v>
      </c>
      <c r="Y27" s="158" t="s">
        <v>92</v>
      </c>
      <c r="Z27" s="158" t="s">
        <v>92</v>
      </c>
      <c r="AA27" s="158" t="s">
        <v>92</v>
      </c>
      <c r="AB27" s="158" t="s">
        <v>92</v>
      </c>
      <c r="AC27" s="158" t="s">
        <v>92</v>
      </c>
      <c r="AD27" s="158" t="s">
        <v>92</v>
      </c>
      <c r="AE27" s="158" t="s">
        <v>92</v>
      </c>
      <c r="AF27" s="158" t="s">
        <v>92</v>
      </c>
      <c r="AG27" s="158" t="s">
        <v>92</v>
      </c>
      <c r="AH27" s="158" t="s">
        <v>92</v>
      </c>
      <c r="AI27" s="158" t="s">
        <v>92</v>
      </c>
      <c r="AJ27" s="158" t="s">
        <v>92</v>
      </c>
      <c r="AK27" s="158" t="s">
        <v>92</v>
      </c>
      <c r="AL27" s="158" t="s">
        <v>92</v>
      </c>
      <c r="AM27" s="158" t="s">
        <v>92</v>
      </c>
      <c r="AN27" s="158" t="s">
        <v>92</v>
      </c>
      <c r="AO27" s="158" t="s">
        <v>92</v>
      </c>
    </row>
    <row r="28" spans="1:41" ht="16.5" x14ac:dyDescent="0.25">
      <c r="K28" s="159">
        <f>SUBTOTAL(109,Tabela111[1-out])</f>
        <v>0</v>
      </c>
      <c r="L28" s="159">
        <f>SUBTOTAL(109,Tabela111[2-out])</f>
        <v>0</v>
      </c>
      <c r="M28" s="159">
        <f>SUBTOTAL(109,Tabela111[3-out])</f>
        <v>0</v>
      </c>
      <c r="N28" s="159">
        <f>SUBTOTAL(109,Tabela111[4-out])</f>
        <v>0</v>
      </c>
      <c r="O28" s="159">
        <f>SUBTOTAL(109,Tabela111[5-out])</f>
        <v>0</v>
      </c>
      <c r="P28" s="159">
        <f>SUBTOTAL(109,Tabela111[6-out])</f>
        <v>0</v>
      </c>
      <c r="Q28" s="159">
        <f>SUBTOTAL(109,Tabela111[7-out])</f>
        <v>0</v>
      </c>
      <c r="R28" s="159">
        <f>SUBTOTAL(109,Tabela111[8-out])</f>
        <v>0</v>
      </c>
      <c r="S28" s="159">
        <f>SUBTOTAL(109,Tabela111[9-out])</f>
        <v>0</v>
      </c>
      <c r="T28" s="159">
        <f>SUBTOTAL(109,Tabela111[10-out])</f>
        <v>0</v>
      </c>
      <c r="U28" s="159">
        <f>SUBTOTAL(109,Tabela111[11-out])</f>
        <v>0</v>
      </c>
      <c r="V28" s="159">
        <f>SUBTOTAL(109,Tabela111[12-out])</f>
        <v>0</v>
      </c>
      <c r="W28" s="159">
        <f>SUBTOTAL(109,Tabela111[13-out])</f>
        <v>0</v>
      </c>
      <c r="X28" s="159">
        <f>SUBTOTAL(109,Tabela111[14-out])</f>
        <v>0</v>
      </c>
      <c r="Y28" s="159">
        <f>SUBTOTAL(109,Tabela111[15-out])</f>
        <v>0</v>
      </c>
      <c r="Z28" s="159">
        <f>SUBTOTAL(109,Tabela111[16-out])</f>
        <v>0</v>
      </c>
      <c r="AA28" s="159">
        <f>SUBTOTAL(109,Tabela111[17-out])</f>
        <v>0</v>
      </c>
      <c r="AB28" s="159">
        <f>SUBTOTAL(109,Tabela111[18-out])</f>
        <v>0</v>
      </c>
      <c r="AC28" s="159">
        <f>SUBTOTAL(109,Tabela111[19-out])</f>
        <v>0</v>
      </c>
      <c r="AD28" s="159">
        <f>SUBTOTAL(109,Tabela111[20-out])</f>
        <v>0</v>
      </c>
      <c r="AE28" s="159">
        <f>SUBTOTAL(109,Tabela111[21-out])</f>
        <v>0</v>
      </c>
      <c r="AF28" s="159">
        <f>SUBTOTAL(109,Tabela111[22-out])</f>
        <v>0</v>
      </c>
      <c r="AG28" s="159">
        <f>SUBTOTAL(109,Tabela111[23-out])</f>
        <v>0</v>
      </c>
      <c r="AH28" s="159">
        <f>SUBTOTAL(109,Tabela111[24-out])</f>
        <v>0</v>
      </c>
      <c r="AI28" s="159">
        <f>SUBTOTAL(109,Tabela111[25-out])</f>
        <v>0</v>
      </c>
      <c r="AJ28" s="159">
        <f>SUBTOTAL(109,Tabela111[26-out])</f>
        <v>0</v>
      </c>
      <c r="AK28" s="159">
        <f>SUBTOTAL(109,Tabela111[27-out])</f>
        <v>0</v>
      </c>
      <c r="AL28" s="159">
        <f>SUBTOTAL(109,Tabela111[28-out])</f>
        <v>0</v>
      </c>
      <c r="AM28" s="159">
        <f>SUBTOTAL(109,Tabela111[29-out])</f>
        <v>0</v>
      </c>
      <c r="AN28" s="159">
        <f>SUBTOTAL(109,Tabela111[30-out])</f>
        <v>0</v>
      </c>
      <c r="AO28" s="159">
        <f>SUBTOTAL(109,Tabela111[31-out])</f>
        <v>0</v>
      </c>
    </row>
    <row r="30" spans="1:41" x14ac:dyDescent="0.25">
      <c r="B30" s="188"/>
      <c r="C30" s="188"/>
    </row>
    <row r="31" spans="1:41" x14ac:dyDescent="0.25">
      <c r="B31" s="188"/>
      <c r="C31" s="188"/>
    </row>
  </sheetData>
  <sheetProtection algorithmName="SHA-512" hashValue="F8oKoq+nUHBUjU3sNLYGy7T6d4nL+/ouVAUN0d+F5ZwEjSx63CP68j8bAn+F0hgxUx6P5KClHF3Vx+U/Qa5arg==" saltValue="UbqwkVNjmkV8Mvig4nXk6g==" spinCount="100000" sheet="1" objects="1" scenarios="1"/>
  <mergeCells count="49">
    <mergeCell ref="C26:F26"/>
    <mergeCell ref="G26:J26"/>
    <mergeCell ref="C27:F27"/>
    <mergeCell ref="G27:J27"/>
    <mergeCell ref="C23:F23"/>
    <mergeCell ref="G23:J23"/>
    <mergeCell ref="C24:F24"/>
    <mergeCell ref="G24:J24"/>
    <mergeCell ref="C25:F25"/>
    <mergeCell ref="G25:J25"/>
    <mergeCell ref="C20:F20"/>
    <mergeCell ref="G20:J20"/>
    <mergeCell ref="C21:F21"/>
    <mergeCell ref="G21:J21"/>
    <mergeCell ref="C22:F22"/>
    <mergeCell ref="G22:J22"/>
    <mergeCell ref="C17:F17"/>
    <mergeCell ref="G17:J17"/>
    <mergeCell ref="C18:F18"/>
    <mergeCell ref="G18:J18"/>
    <mergeCell ref="C19:F19"/>
    <mergeCell ref="G19:J19"/>
    <mergeCell ref="C14:F14"/>
    <mergeCell ref="G14:J14"/>
    <mergeCell ref="C15:F15"/>
    <mergeCell ref="G15:J15"/>
    <mergeCell ref="C16:F16"/>
    <mergeCell ref="G16:J16"/>
    <mergeCell ref="H8:H9"/>
    <mergeCell ref="I8:I9"/>
    <mergeCell ref="J8:J9"/>
    <mergeCell ref="C13:F13"/>
    <mergeCell ref="G13:J13"/>
    <mergeCell ref="B30:C31"/>
    <mergeCell ref="L8:L9"/>
    <mergeCell ref="M8:M9"/>
    <mergeCell ref="O7:Q7"/>
    <mergeCell ref="O8:Q9"/>
    <mergeCell ref="B11:F11"/>
    <mergeCell ref="G11:J11"/>
    <mergeCell ref="K8:K9"/>
    <mergeCell ref="C12:F12"/>
    <mergeCell ref="G12:J12"/>
    <mergeCell ref="B8:B9"/>
    <mergeCell ref="C8:C9"/>
    <mergeCell ref="D8:D9"/>
    <mergeCell ref="E8:E9"/>
    <mergeCell ref="F8:F9"/>
    <mergeCell ref="G8:G9"/>
  </mergeCells>
  <conditionalFormatting sqref="K12:AO27">
    <cfRule type="containsText" dxfId="67" priority="3" operator="containsText" text="não">
      <formula>NOT(ISERROR(SEARCH("não",K12)))</formula>
    </cfRule>
    <cfRule type="containsText" dxfId="66" priority="4" operator="containsText" text="sim">
      <formula>NOT(ISERROR(SEARCH("sim",K12)))</formula>
    </cfRule>
  </conditionalFormatting>
  <conditionalFormatting sqref="G12:J2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{1F6C3676-B616-43DA-8EEE-9119B4389A2F}</x14:id>
        </ext>
      </extLst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{CAA1BC90-3778-4D7A-8136-127668480CEA}</x14:id>
        </ext>
      </extLst>
    </cfRule>
  </conditionalFormatting>
  <dataValidations count="1">
    <dataValidation type="list" allowBlank="1" showInputMessage="1" showErrorMessage="1" sqref="K12:AO27" xr:uid="{00000000-0002-0000-1D00-000000000000}">
      <formula1>"Sim,Não,00:30,01:00,01:30,02:00,02:30,03:00,03:30,04:00"</formula1>
    </dataValidation>
  </dataValidations>
  <hyperlinks>
    <hyperlink ref="B8" location="Desempenho!A1" display="janeiro" xr:uid="{00000000-0004-0000-1D00-000000000000}"/>
    <hyperlink ref="C8" location="fev!A1" display="Fevereiro" xr:uid="{00000000-0004-0000-1D00-000001000000}"/>
    <hyperlink ref="D8" location="mar!A1" display="Março" xr:uid="{00000000-0004-0000-1D00-000002000000}"/>
    <hyperlink ref="E8" location="abr!A1" display="Abril" xr:uid="{00000000-0004-0000-1D00-000003000000}"/>
    <hyperlink ref="F8" location="maio!A1" display="Maio" xr:uid="{00000000-0004-0000-1D00-000004000000}"/>
    <hyperlink ref="G8" location="jun!A1" display="Junho" xr:uid="{00000000-0004-0000-1D00-000005000000}"/>
    <hyperlink ref="H8" location="jul!A1" display="Julho" xr:uid="{00000000-0004-0000-1D00-000006000000}"/>
    <hyperlink ref="I8" location="ago!A1" display="Agosto" xr:uid="{00000000-0004-0000-1D00-000007000000}"/>
    <hyperlink ref="J8" location="set!A1" display="Setembro" xr:uid="{00000000-0004-0000-1D00-000008000000}"/>
    <hyperlink ref="K8" location="out!A1" display="Outubro" xr:uid="{00000000-0004-0000-1D00-000009000000}"/>
    <hyperlink ref="L8" location="nov!A1" display="Novembro" xr:uid="{00000000-0004-0000-1D00-00000A000000}"/>
    <hyperlink ref="M8" location="dez!A1" display="Dezembro" xr:uid="{00000000-0004-0000-1D00-00000B000000}"/>
  </hyperlink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F6C3676-B616-43DA-8EEE-9119B4389A2F}">
            <x14:dataBar minLength="0" maxLength="100" gradient="0">
              <x14:cfvo type="autoMin"/>
              <x14:cfvo type="autoMax"/>
              <x14:negativeFillColor rgb="FFFF0000"/>
              <x14:axisColor theme="0"/>
            </x14:dataBar>
          </x14:cfRule>
          <x14:cfRule type="dataBar" id="{CAA1BC90-3778-4D7A-8136-127668480C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G12:J27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ilha32"/>
  <dimension ref="A1:AN31"/>
  <sheetViews>
    <sheetView showGridLines="0" workbookViewId="0">
      <pane ySplit="4" topLeftCell="A5" activePane="bottomLeft" state="frozen"/>
      <selection activeCell="A5" sqref="A5"/>
      <selection pane="bottomLeft" activeCell="M8" sqref="M8:M9"/>
    </sheetView>
  </sheetViews>
  <sheetFormatPr defaultRowHeight="15" x14ac:dyDescent="0.25"/>
  <cols>
    <col min="1" max="1" width="3.85546875" style="27" customWidth="1"/>
    <col min="2" max="2" width="8.140625" style="27" bestFit="1" customWidth="1"/>
    <col min="3" max="3" width="10.5703125" style="27" bestFit="1" customWidth="1"/>
    <col min="4" max="4" width="7.5703125" style="27" bestFit="1" customWidth="1"/>
    <col min="5" max="5" width="6.140625" style="27" bestFit="1" customWidth="1"/>
    <col min="6" max="6" width="6.28515625" style="27" bestFit="1" customWidth="1"/>
    <col min="7" max="7" width="7.42578125" style="27" bestFit="1" customWidth="1"/>
    <col min="8" max="8" width="6.7109375" style="27" bestFit="1" customWidth="1"/>
    <col min="9" max="9" width="8.5703125" style="27" bestFit="1" customWidth="1"/>
    <col min="10" max="10" width="11" style="27" bestFit="1" customWidth="1"/>
    <col min="11" max="11" width="9.7109375" style="27" bestFit="1" customWidth="1"/>
    <col min="12" max="12" width="12" style="27" bestFit="1" customWidth="1"/>
    <col min="13" max="13" width="11.5703125" style="27" bestFit="1" customWidth="1"/>
    <col min="14" max="16384" width="9.140625" style="27"/>
  </cols>
  <sheetData>
    <row r="1" spans="1:40" s="38" customFormat="1" x14ac:dyDescent="0.25"/>
    <row r="2" spans="1:40" s="38" customFormat="1" x14ac:dyDescent="0.25"/>
    <row r="3" spans="1:40" s="38" customFormat="1" x14ac:dyDescent="0.25"/>
    <row r="4" spans="1:40" s="38" customFormat="1" x14ac:dyDescent="0.25"/>
    <row r="5" spans="1:40" s="63" customFormat="1" ht="3.95" customHeight="1" x14ac:dyDescent="0.25"/>
    <row r="6" spans="1:40" ht="15" customHeight="1" x14ac:dyDescent="0.25"/>
    <row r="7" spans="1:40" ht="15" customHeight="1" thickBot="1" x14ac:dyDescent="0.3"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246" t="s">
        <v>36</v>
      </c>
      <c r="P7" s="246"/>
      <c r="Q7" s="246"/>
    </row>
    <row r="8" spans="1:40" ht="15" customHeight="1" x14ac:dyDescent="0.25">
      <c r="A8" s="31"/>
      <c r="B8" s="250" t="s">
        <v>133</v>
      </c>
      <c r="C8" s="248" t="s">
        <v>25</v>
      </c>
      <c r="D8" s="248" t="s">
        <v>26</v>
      </c>
      <c r="E8" s="248" t="s">
        <v>27</v>
      </c>
      <c r="F8" s="248" t="s">
        <v>28</v>
      </c>
      <c r="G8" s="248" t="s">
        <v>29</v>
      </c>
      <c r="H8" s="248" t="s">
        <v>30</v>
      </c>
      <c r="I8" s="248" t="s">
        <v>31</v>
      </c>
      <c r="J8" s="248" t="s">
        <v>32</v>
      </c>
      <c r="K8" s="248" t="s">
        <v>33</v>
      </c>
      <c r="L8" s="248" t="s">
        <v>34</v>
      </c>
      <c r="M8" s="248" t="s">
        <v>35</v>
      </c>
      <c r="N8" s="51"/>
      <c r="O8" s="196">
        <f>SUM(G12:J27)</f>
        <v>0</v>
      </c>
      <c r="P8" s="196"/>
      <c r="Q8" s="196"/>
    </row>
    <row r="9" spans="1:40" ht="15" customHeight="1" x14ac:dyDescent="0.25">
      <c r="A9" s="31"/>
      <c r="B9" s="249"/>
      <c r="C9" s="249"/>
      <c r="D9" s="249"/>
      <c r="E9" s="249"/>
      <c r="F9" s="249"/>
      <c r="G9" s="249"/>
      <c r="H9" s="249"/>
      <c r="I9" s="249"/>
      <c r="J9" s="249"/>
      <c r="K9" s="249"/>
      <c r="L9" s="249"/>
      <c r="M9" s="249"/>
      <c r="N9" s="52"/>
      <c r="O9" s="196"/>
      <c r="P9" s="196"/>
      <c r="Q9" s="196"/>
    </row>
    <row r="10" spans="1:40" ht="15" customHeight="1" x14ac:dyDescent="0.25">
      <c r="A10" s="18"/>
      <c r="B10" s="18"/>
      <c r="C10" s="18"/>
      <c r="D10" s="18"/>
      <c r="E10" s="18"/>
      <c r="F10" s="18"/>
      <c r="G10" s="18"/>
      <c r="H10" s="18"/>
      <c r="I10" s="18"/>
      <c r="J10" s="18"/>
      <c r="O10" s="32"/>
      <c r="P10" s="32"/>
      <c r="Q10" s="32"/>
    </row>
    <row r="11" spans="1:40" ht="20.25" x14ac:dyDescent="0.25">
      <c r="A11" s="19"/>
      <c r="B11" s="198" t="s">
        <v>134</v>
      </c>
      <c r="C11" s="198"/>
      <c r="D11" s="198"/>
      <c r="E11" s="198"/>
      <c r="F11" s="198"/>
      <c r="G11" s="195" t="s">
        <v>37</v>
      </c>
      <c r="H11" s="195"/>
      <c r="I11" s="195"/>
      <c r="J11" s="195"/>
      <c r="K11" s="21" t="s">
        <v>416</v>
      </c>
      <c r="L11" s="21" t="s">
        <v>417</v>
      </c>
      <c r="M11" s="21" t="s">
        <v>418</v>
      </c>
      <c r="N11" s="21" t="s">
        <v>419</v>
      </c>
      <c r="O11" s="21" t="s">
        <v>420</v>
      </c>
      <c r="P11" s="21" t="s">
        <v>421</v>
      </c>
      <c r="Q11" s="21" t="s">
        <v>422</v>
      </c>
      <c r="R11" s="21" t="s">
        <v>423</v>
      </c>
      <c r="S11" s="21" t="s">
        <v>424</v>
      </c>
      <c r="T11" s="21" t="s">
        <v>425</v>
      </c>
      <c r="U11" s="21" t="s">
        <v>426</v>
      </c>
      <c r="V11" s="21" t="s">
        <v>427</v>
      </c>
      <c r="W11" s="21" t="s">
        <v>428</v>
      </c>
      <c r="X11" s="21" t="s">
        <v>429</v>
      </c>
      <c r="Y11" s="21" t="s">
        <v>430</v>
      </c>
      <c r="Z11" s="21" t="s">
        <v>431</v>
      </c>
      <c r="AA11" s="21" t="s">
        <v>432</v>
      </c>
      <c r="AB11" s="21" t="s">
        <v>433</v>
      </c>
      <c r="AC11" s="21" t="s">
        <v>434</v>
      </c>
      <c r="AD11" s="21" t="s">
        <v>435</v>
      </c>
      <c r="AE11" s="21" t="s">
        <v>436</v>
      </c>
      <c r="AF11" s="21" t="s">
        <v>437</v>
      </c>
      <c r="AG11" s="21" t="s">
        <v>438</v>
      </c>
      <c r="AH11" s="21" t="s">
        <v>439</v>
      </c>
      <c r="AI11" s="21" t="s">
        <v>440</v>
      </c>
      <c r="AJ11" s="21" t="s">
        <v>441</v>
      </c>
      <c r="AK11" s="21" t="s">
        <v>442</v>
      </c>
      <c r="AL11" s="21" t="s">
        <v>443</v>
      </c>
      <c r="AM11" s="21" t="s">
        <v>444</v>
      </c>
      <c r="AN11" s="21" t="s">
        <v>445</v>
      </c>
    </row>
    <row r="12" spans="1:40" ht="26.1" customHeight="1" thickBot="1" x14ac:dyDescent="0.3">
      <c r="A12" s="1" t="s">
        <v>89</v>
      </c>
      <c r="B12" s="16">
        <v>1</v>
      </c>
      <c r="C12" s="199" t="str">
        <f>VLOOKUP(B12,Começo!A:D,3,0)</f>
        <v>Português</v>
      </c>
      <c r="D12" s="199"/>
      <c r="E12" s="199"/>
      <c r="F12" s="199"/>
      <c r="G12" s="194">
        <f>IFERROR(COUNTIF(Tabela112[#This Row],"sim"),"")*Começo!D14+SUM(Tabela112[#This Row])</f>
        <v>0</v>
      </c>
      <c r="H12" s="194"/>
      <c r="I12" s="194"/>
      <c r="J12" s="194"/>
      <c r="K12" s="158" t="s">
        <v>92</v>
      </c>
      <c r="L12" s="158" t="s">
        <v>92</v>
      </c>
      <c r="M12" s="158" t="s">
        <v>92</v>
      </c>
      <c r="N12" s="158" t="s">
        <v>92</v>
      </c>
      <c r="O12" s="158" t="s">
        <v>92</v>
      </c>
      <c r="P12" s="158" t="s">
        <v>92</v>
      </c>
      <c r="Q12" s="158" t="s">
        <v>92</v>
      </c>
      <c r="R12" s="158" t="s">
        <v>92</v>
      </c>
      <c r="S12" s="158" t="s">
        <v>92</v>
      </c>
      <c r="T12" s="158" t="s">
        <v>92</v>
      </c>
      <c r="U12" s="158" t="s">
        <v>92</v>
      </c>
      <c r="V12" s="158" t="s">
        <v>92</v>
      </c>
      <c r="W12" s="158" t="s">
        <v>92</v>
      </c>
      <c r="X12" s="158" t="s">
        <v>92</v>
      </c>
      <c r="Y12" s="158" t="s">
        <v>92</v>
      </c>
      <c r="Z12" s="158" t="s">
        <v>92</v>
      </c>
      <c r="AA12" s="158" t="s">
        <v>92</v>
      </c>
      <c r="AB12" s="158" t="s">
        <v>92</v>
      </c>
      <c r="AC12" s="158" t="s">
        <v>92</v>
      </c>
      <c r="AD12" s="158" t="s">
        <v>92</v>
      </c>
      <c r="AE12" s="158" t="s">
        <v>92</v>
      </c>
      <c r="AF12" s="158" t="s">
        <v>92</v>
      </c>
      <c r="AG12" s="158" t="s">
        <v>92</v>
      </c>
      <c r="AH12" s="158" t="s">
        <v>92</v>
      </c>
      <c r="AI12" s="158" t="s">
        <v>92</v>
      </c>
      <c r="AJ12" s="158" t="s">
        <v>92</v>
      </c>
      <c r="AK12" s="158" t="s">
        <v>92</v>
      </c>
      <c r="AL12" s="158" t="s">
        <v>92</v>
      </c>
      <c r="AM12" s="158" t="s">
        <v>92</v>
      </c>
      <c r="AN12" s="158" t="s">
        <v>92</v>
      </c>
    </row>
    <row r="13" spans="1:40" ht="26.1" customHeight="1" thickBot="1" x14ac:dyDescent="0.3">
      <c r="A13" s="1" t="s">
        <v>89</v>
      </c>
      <c r="B13" s="17">
        <v>2</v>
      </c>
      <c r="C13" s="199" t="str">
        <f>VLOOKUP(B13,Começo!A:D,3,0)</f>
        <v>Matemática</v>
      </c>
      <c r="D13" s="199"/>
      <c r="E13" s="199"/>
      <c r="F13" s="199"/>
      <c r="G13" s="194">
        <f>IFERROR(COUNTIF(Tabela112[#This Row],"sim"),"")*Começo!D15+SUM(Tabela112[#This Row])</f>
        <v>0</v>
      </c>
      <c r="H13" s="194"/>
      <c r="I13" s="194"/>
      <c r="J13" s="194"/>
      <c r="K13" s="158" t="s">
        <v>92</v>
      </c>
      <c r="L13" s="158" t="s">
        <v>92</v>
      </c>
      <c r="M13" s="158" t="s">
        <v>92</v>
      </c>
      <c r="N13" s="158" t="s">
        <v>92</v>
      </c>
      <c r="O13" s="158" t="s">
        <v>92</v>
      </c>
      <c r="P13" s="158" t="s">
        <v>92</v>
      </c>
      <c r="Q13" s="158" t="s">
        <v>92</v>
      </c>
      <c r="R13" s="158" t="s">
        <v>92</v>
      </c>
      <c r="S13" s="158" t="s">
        <v>92</v>
      </c>
      <c r="T13" s="158" t="s">
        <v>92</v>
      </c>
      <c r="U13" s="158" t="s">
        <v>92</v>
      </c>
      <c r="V13" s="158" t="s">
        <v>92</v>
      </c>
      <c r="W13" s="158" t="s">
        <v>92</v>
      </c>
      <c r="X13" s="158" t="s">
        <v>92</v>
      </c>
      <c r="Y13" s="158" t="s">
        <v>92</v>
      </c>
      <c r="Z13" s="158" t="s">
        <v>92</v>
      </c>
      <c r="AA13" s="158" t="s">
        <v>92</v>
      </c>
      <c r="AB13" s="158" t="s">
        <v>92</v>
      </c>
      <c r="AC13" s="158" t="s">
        <v>92</v>
      </c>
      <c r="AD13" s="158" t="s">
        <v>92</v>
      </c>
      <c r="AE13" s="158" t="s">
        <v>92</v>
      </c>
      <c r="AF13" s="158" t="s">
        <v>92</v>
      </c>
      <c r="AG13" s="158" t="s">
        <v>92</v>
      </c>
      <c r="AH13" s="158" t="s">
        <v>92</v>
      </c>
      <c r="AI13" s="158" t="s">
        <v>92</v>
      </c>
      <c r="AJ13" s="158" t="s">
        <v>92</v>
      </c>
      <c r="AK13" s="158" t="s">
        <v>92</v>
      </c>
      <c r="AL13" s="158" t="s">
        <v>92</v>
      </c>
      <c r="AM13" s="158" t="s">
        <v>92</v>
      </c>
      <c r="AN13" s="158" t="s">
        <v>92</v>
      </c>
    </row>
    <row r="14" spans="1:40" ht="26.1" customHeight="1" thickBot="1" x14ac:dyDescent="0.3">
      <c r="A14" s="1" t="s">
        <v>89</v>
      </c>
      <c r="B14" s="17">
        <v>3</v>
      </c>
      <c r="C14" s="199" t="str">
        <f>VLOOKUP(B14,Começo!A:D,3,0)</f>
        <v>História</v>
      </c>
      <c r="D14" s="199"/>
      <c r="E14" s="199"/>
      <c r="F14" s="199"/>
      <c r="G14" s="194">
        <f>IFERROR(COUNTIF(Tabela112[#This Row],"sim"),"")*Começo!D16+SUM(Tabela112[#This Row])</f>
        <v>0</v>
      </c>
      <c r="H14" s="194"/>
      <c r="I14" s="194"/>
      <c r="J14" s="194"/>
      <c r="K14" s="158" t="s">
        <v>92</v>
      </c>
      <c r="L14" s="158" t="s">
        <v>92</v>
      </c>
      <c r="M14" s="158" t="s">
        <v>92</v>
      </c>
      <c r="N14" s="158" t="s">
        <v>92</v>
      </c>
      <c r="O14" s="158" t="s">
        <v>92</v>
      </c>
      <c r="P14" s="158" t="s">
        <v>92</v>
      </c>
      <c r="Q14" s="158" t="s">
        <v>92</v>
      </c>
      <c r="R14" s="158" t="s">
        <v>92</v>
      </c>
      <c r="S14" s="158" t="s">
        <v>92</v>
      </c>
      <c r="T14" s="158" t="s">
        <v>92</v>
      </c>
      <c r="U14" s="158" t="s">
        <v>92</v>
      </c>
      <c r="V14" s="158" t="s">
        <v>92</v>
      </c>
      <c r="W14" s="158" t="s">
        <v>92</v>
      </c>
      <c r="X14" s="158" t="s">
        <v>92</v>
      </c>
      <c r="Y14" s="158" t="s">
        <v>92</v>
      </c>
      <c r="Z14" s="158" t="s">
        <v>92</v>
      </c>
      <c r="AA14" s="158" t="s">
        <v>92</v>
      </c>
      <c r="AB14" s="158" t="s">
        <v>92</v>
      </c>
      <c r="AC14" s="158" t="s">
        <v>92</v>
      </c>
      <c r="AD14" s="158" t="s">
        <v>92</v>
      </c>
      <c r="AE14" s="158" t="s">
        <v>92</v>
      </c>
      <c r="AF14" s="158" t="s">
        <v>92</v>
      </c>
      <c r="AG14" s="158" t="s">
        <v>92</v>
      </c>
      <c r="AH14" s="158" t="s">
        <v>92</v>
      </c>
      <c r="AI14" s="158" t="s">
        <v>92</v>
      </c>
      <c r="AJ14" s="158" t="s">
        <v>92</v>
      </c>
      <c r="AK14" s="158" t="s">
        <v>92</v>
      </c>
      <c r="AL14" s="158" t="s">
        <v>92</v>
      </c>
      <c r="AM14" s="158" t="s">
        <v>92</v>
      </c>
      <c r="AN14" s="158" t="s">
        <v>92</v>
      </c>
    </row>
    <row r="15" spans="1:40" ht="26.1" customHeight="1" thickBot="1" x14ac:dyDescent="0.3">
      <c r="A15" s="1" t="s">
        <v>89</v>
      </c>
      <c r="B15" s="17">
        <v>4</v>
      </c>
      <c r="C15" s="199" t="str">
        <f>VLOOKUP(B15,Começo!A:D,3,0)</f>
        <v>Física</v>
      </c>
      <c r="D15" s="199"/>
      <c r="E15" s="199"/>
      <c r="F15" s="199"/>
      <c r="G15" s="194">
        <f>IFERROR(COUNTIF(Tabela112[#This Row],"sim"),"")*Começo!D17+SUM(Tabela112[#This Row])</f>
        <v>0</v>
      </c>
      <c r="H15" s="194"/>
      <c r="I15" s="194"/>
      <c r="J15" s="194"/>
      <c r="K15" s="158" t="s">
        <v>92</v>
      </c>
      <c r="L15" s="158" t="s">
        <v>92</v>
      </c>
      <c r="M15" s="158" t="s">
        <v>92</v>
      </c>
      <c r="N15" s="158" t="s">
        <v>92</v>
      </c>
      <c r="O15" s="158" t="s">
        <v>92</v>
      </c>
      <c r="P15" s="158" t="s">
        <v>92</v>
      </c>
      <c r="Q15" s="158" t="s">
        <v>92</v>
      </c>
      <c r="R15" s="158" t="s">
        <v>92</v>
      </c>
      <c r="S15" s="158" t="s">
        <v>92</v>
      </c>
      <c r="T15" s="158" t="s">
        <v>92</v>
      </c>
      <c r="U15" s="158" t="s">
        <v>92</v>
      </c>
      <c r="V15" s="158" t="s">
        <v>92</v>
      </c>
      <c r="W15" s="158" t="s">
        <v>92</v>
      </c>
      <c r="X15" s="158" t="s">
        <v>92</v>
      </c>
      <c r="Y15" s="158" t="s">
        <v>92</v>
      </c>
      <c r="Z15" s="158" t="s">
        <v>92</v>
      </c>
      <c r="AA15" s="158" t="s">
        <v>92</v>
      </c>
      <c r="AB15" s="158" t="s">
        <v>92</v>
      </c>
      <c r="AC15" s="158" t="s">
        <v>92</v>
      </c>
      <c r="AD15" s="158" t="s">
        <v>92</v>
      </c>
      <c r="AE15" s="158" t="s">
        <v>92</v>
      </c>
      <c r="AF15" s="158" t="s">
        <v>92</v>
      </c>
      <c r="AG15" s="158" t="s">
        <v>92</v>
      </c>
      <c r="AH15" s="158" t="s">
        <v>92</v>
      </c>
      <c r="AI15" s="158" t="s">
        <v>92</v>
      </c>
      <c r="AJ15" s="158" t="s">
        <v>92</v>
      </c>
      <c r="AK15" s="158" t="s">
        <v>92</v>
      </c>
      <c r="AL15" s="158" t="s">
        <v>92</v>
      </c>
      <c r="AM15" s="158" t="s">
        <v>92</v>
      </c>
      <c r="AN15" s="158" t="s">
        <v>92</v>
      </c>
    </row>
    <row r="16" spans="1:40" ht="26.1" customHeight="1" thickBot="1" x14ac:dyDescent="0.3">
      <c r="A16" s="1" t="s">
        <v>89</v>
      </c>
      <c r="B16" s="17">
        <v>5</v>
      </c>
      <c r="C16" s="199" t="str">
        <f>VLOOKUP(B16,Começo!A:D,3,0)</f>
        <v>Quimíca</v>
      </c>
      <c r="D16" s="199"/>
      <c r="E16" s="199"/>
      <c r="F16" s="199"/>
      <c r="G16" s="194">
        <f>IFERROR(COUNTIF(Tabela112[#This Row],"sim"),"")*Começo!D18+SUM(Tabela112[#This Row])</f>
        <v>0</v>
      </c>
      <c r="H16" s="194"/>
      <c r="I16" s="194"/>
      <c r="J16" s="194"/>
      <c r="K16" s="158" t="s">
        <v>92</v>
      </c>
      <c r="L16" s="158" t="s">
        <v>92</v>
      </c>
      <c r="M16" s="158" t="s">
        <v>92</v>
      </c>
      <c r="N16" s="158" t="s">
        <v>92</v>
      </c>
      <c r="O16" s="158" t="s">
        <v>92</v>
      </c>
      <c r="P16" s="158" t="s">
        <v>92</v>
      </c>
      <c r="Q16" s="158" t="s">
        <v>92</v>
      </c>
      <c r="R16" s="158" t="s">
        <v>92</v>
      </c>
      <c r="S16" s="158" t="s">
        <v>92</v>
      </c>
      <c r="T16" s="158" t="s">
        <v>92</v>
      </c>
      <c r="U16" s="158" t="s">
        <v>92</v>
      </c>
      <c r="V16" s="158" t="s">
        <v>92</v>
      </c>
      <c r="W16" s="158" t="s">
        <v>92</v>
      </c>
      <c r="X16" s="158" t="s">
        <v>92</v>
      </c>
      <c r="Y16" s="158" t="s">
        <v>92</v>
      </c>
      <c r="Z16" s="158" t="s">
        <v>92</v>
      </c>
      <c r="AA16" s="158" t="s">
        <v>92</v>
      </c>
      <c r="AB16" s="158" t="s">
        <v>92</v>
      </c>
      <c r="AC16" s="158" t="s">
        <v>92</v>
      </c>
      <c r="AD16" s="158" t="s">
        <v>92</v>
      </c>
      <c r="AE16" s="158" t="s">
        <v>92</v>
      </c>
      <c r="AF16" s="158" t="s">
        <v>92</v>
      </c>
      <c r="AG16" s="158" t="s">
        <v>92</v>
      </c>
      <c r="AH16" s="158" t="s">
        <v>92</v>
      </c>
      <c r="AI16" s="158" t="s">
        <v>92</v>
      </c>
      <c r="AJ16" s="158" t="s">
        <v>92</v>
      </c>
      <c r="AK16" s="158" t="s">
        <v>92</v>
      </c>
      <c r="AL16" s="158" t="s">
        <v>92</v>
      </c>
      <c r="AM16" s="158" t="s">
        <v>92</v>
      </c>
      <c r="AN16" s="158" t="s">
        <v>92</v>
      </c>
    </row>
    <row r="17" spans="1:40" ht="26.1" customHeight="1" thickBot="1" x14ac:dyDescent="0.3">
      <c r="A17" s="1" t="s">
        <v>89</v>
      </c>
      <c r="B17" s="17">
        <v>6</v>
      </c>
      <c r="C17" s="199" t="str">
        <f>VLOOKUP(B17,Começo!A:D,3,0)</f>
        <v>Legislação</v>
      </c>
      <c r="D17" s="199"/>
      <c r="E17" s="199"/>
      <c r="F17" s="199"/>
      <c r="G17" s="194">
        <f>IFERROR(COUNTIF(Tabela112[#This Row],"sim"),"")*Começo!D19+SUM(Tabela112[#This Row])</f>
        <v>0</v>
      </c>
      <c r="H17" s="194"/>
      <c r="I17" s="194"/>
      <c r="J17" s="194"/>
      <c r="K17" s="158" t="s">
        <v>92</v>
      </c>
      <c r="L17" s="158" t="s">
        <v>92</v>
      </c>
      <c r="M17" s="158" t="s">
        <v>92</v>
      </c>
      <c r="N17" s="158" t="s">
        <v>92</v>
      </c>
      <c r="O17" s="158" t="s">
        <v>92</v>
      </c>
      <c r="P17" s="158" t="s">
        <v>92</v>
      </c>
      <c r="Q17" s="158" t="s">
        <v>92</v>
      </c>
      <c r="R17" s="158" t="s">
        <v>92</v>
      </c>
      <c r="S17" s="158" t="s">
        <v>92</v>
      </c>
      <c r="T17" s="158" t="s">
        <v>92</v>
      </c>
      <c r="U17" s="158" t="s">
        <v>92</v>
      </c>
      <c r="V17" s="158" t="s">
        <v>92</v>
      </c>
      <c r="W17" s="158" t="s">
        <v>92</v>
      </c>
      <c r="X17" s="158" t="s">
        <v>92</v>
      </c>
      <c r="Y17" s="158" t="s">
        <v>92</v>
      </c>
      <c r="Z17" s="158" t="s">
        <v>92</v>
      </c>
      <c r="AA17" s="158" t="s">
        <v>92</v>
      </c>
      <c r="AB17" s="158" t="s">
        <v>92</v>
      </c>
      <c r="AC17" s="158" t="s">
        <v>92</v>
      </c>
      <c r="AD17" s="158" t="s">
        <v>92</v>
      </c>
      <c r="AE17" s="158" t="s">
        <v>92</v>
      </c>
      <c r="AF17" s="158" t="s">
        <v>92</v>
      </c>
      <c r="AG17" s="158" t="s">
        <v>92</v>
      </c>
      <c r="AH17" s="158" t="s">
        <v>92</v>
      </c>
      <c r="AI17" s="158" t="s">
        <v>92</v>
      </c>
      <c r="AJ17" s="158" t="s">
        <v>92</v>
      </c>
      <c r="AK17" s="158" t="s">
        <v>92</v>
      </c>
      <c r="AL17" s="158" t="s">
        <v>92</v>
      </c>
      <c r="AM17" s="158" t="s">
        <v>92</v>
      </c>
      <c r="AN17" s="158" t="s">
        <v>92</v>
      </c>
    </row>
    <row r="18" spans="1:40" ht="26.1" customHeight="1" thickBot="1" x14ac:dyDescent="0.3">
      <c r="A18" s="1" t="s">
        <v>89</v>
      </c>
      <c r="B18" s="17">
        <v>7</v>
      </c>
      <c r="C18" s="199" t="str">
        <f>VLOOKUP(B18,Começo!A:D,3,0)</f>
        <v>Processo Penal</v>
      </c>
      <c r="D18" s="199"/>
      <c r="E18" s="199"/>
      <c r="F18" s="199"/>
      <c r="G18" s="194">
        <f>IFERROR(COUNTIF(Tabela112[#This Row],"sim"),"")*Começo!D20+SUM(Tabela112[#This Row])</f>
        <v>0</v>
      </c>
      <c r="H18" s="194"/>
      <c r="I18" s="194"/>
      <c r="J18" s="194"/>
      <c r="K18" s="158" t="s">
        <v>92</v>
      </c>
      <c r="L18" s="158" t="s">
        <v>92</v>
      </c>
      <c r="M18" s="158" t="s">
        <v>92</v>
      </c>
      <c r="N18" s="158" t="s">
        <v>92</v>
      </c>
      <c r="O18" s="158" t="s">
        <v>92</v>
      </c>
      <c r="P18" s="158" t="s">
        <v>92</v>
      </c>
      <c r="Q18" s="158" t="s">
        <v>92</v>
      </c>
      <c r="R18" s="158" t="s">
        <v>92</v>
      </c>
      <c r="S18" s="158" t="s">
        <v>92</v>
      </c>
      <c r="T18" s="158" t="s">
        <v>92</v>
      </c>
      <c r="U18" s="158" t="s">
        <v>92</v>
      </c>
      <c r="V18" s="158" t="s">
        <v>92</v>
      </c>
      <c r="W18" s="158" t="s">
        <v>92</v>
      </c>
      <c r="X18" s="158" t="s">
        <v>92</v>
      </c>
      <c r="Y18" s="158" t="s">
        <v>92</v>
      </c>
      <c r="Z18" s="158" t="s">
        <v>92</v>
      </c>
      <c r="AA18" s="158" t="s">
        <v>92</v>
      </c>
      <c r="AB18" s="158" t="s">
        <v>92</v>
      </c>
      <c r="AC18" s="158" t="s">
        <v>92</v>
      </c>
      <c r="AD18" s="158" t="s">
        <v>92</v>
      </c>
      <c r="AE18" s="158" t="s">
        <v>92</v>
      </c>
      <c r="AF18" s="158" t="s">
        <v>92</v>
      </c>
      <c r="AG18" s="158" t="s">
        <v>92</v>
      </c>
      <c r="AH18" s="158" t="s">
        <v>92</v>
      </c>
      <c r="AI18" s="158" t="s">
        <v>92</v>
      </c>
      <c r="AJ18" s="158" t="s">
        <v>92</v>
      </c>
      <c r="AK18" s="158" t="s">
        <v>92</v>
      </c>
      <c r="AL18" s="158" t="s">
        <v>92</v>
      </c>
      <c r="AM18" s="158" t="s">
        <v>92</v>
      </c>
      <c r="AN18" s="158" t="s">
        <v>92</v>
      </c>
    </row>
    <row r="19" spans="1:40" ht="26.1" customHeight="1" thickBot="1" x14ac:dyDescent="0.3">
      <c r="A19" s="1" t="s">
        <v>89</v>
      </c>
      <c r="B19" s="17">
        <v>8</v>
      </c>
      <c r="C19" s="199" t="str">
        <f>VLOOKUP(B19,Começo!A:D,3,0)</f>
        <v>Direito Administrativo</v>
      </c>
      <c r="D19" s="199"/>
      <c r="E19" s="199"/>
      <c r="F19" s="199"/>
      <c r="G19" s="194">
        <f>IFERROR(COUNTIF(Tabela112[#This Row],"sim"),"")*Começo!D21+SUM(Tabela112[#This Row])</f>
        <v>0</v>
      </c>
      <c r="H19" s="194"/>
      <c r="I19" s="194"/>
      <c r="J19" s="194"/>
      <c r="K19" s="158" t="s">
        <v>92</v>
      </c>
      <c r="L19" s="158" t="s">
        <v>92</v>
      </c>
      <c r="M19" s="158" t="s">
        <v>92</v>
      </c>
      <c r="N19" s="158" t="s">
        <v>92</v>
      </c>
      <c r="O19" s="158" t="s">
        <v>92</v>
      </c>
      <c r="P19" s="158" t="s">
        <v>92</v>
      </c>
      <c r="Q19" s="158" t="s">
        <v>92</v>
      </c>
      <c r="R19" s="158" t="s">
        <v>92</v>
      </c>
      <c r="S19" s="158" t="s">
        <v>92</v>
      </c>
      <c r="T19" s="158" t="s">
        <v>92</v>
      </c>
      <c r="U19" s="158" t="s">
        <v>92</v>
      </c>
      <c r="V19" s="158" t="s">
        <v>92</v>
      </c>
      <c r="W19" s="158" t="s">
        <v>92</v>
      </c>
      <c r="X19" s="158" t="s">
        <v>92</v>
      </c>
      <c r="Y19" s="158" t="s">
        <v>92</v>
      </c>
      <c r="Z19" s="158" t="s">
        <v>92</v>
      </c>
      <c r="AA19" s="158" t="s">
        <v>92</v>
      </c>
      <c r="AB19" s="158" t="s">
        <v>92</v>
      </c>
      <c r="AC19" s="158" t="s">
        <v>92</v>
      </c>
      <c r="AD19" s="158" t="s">
        <v>92</v>
      </c>
      <c r="AE19" s="158" t="s">
        <v>92</v>
      </c>
      <c r="AF19" s="158" t="s">
        <v>92</v>
      </c>
      <c r="AG19" s="158" t="s">
        <v>92</v>
      </c>
      <c r="AH19" s="158" t="s">
        <v>92</v>
      </c>
      <c r="AI19" s="158" t="s">
        <v>92</v>
      </c>
      <c r="AJ19" s="158" t="s">
        <v>92</v>
      </c>
      <c r="AK19" s="158" t="s">
        <v>92</v>
      </c>
      <c r="AL19" s="158" t="s">
        <v>92</v>
      </c>
      <c r="AM19" s="158" t="s">
        <v>92</v>
      </c>
      <c r="AN19" s="158" t="s">
        <v>92</v>
      </c>
    </row>
    <row r="20" spans="1:40" ht="26.1" customHeight="1" thickBot="1" x14ac:dyDescent="0.3">
      <c r="A20" s="1" t="s">
        <v>89</v>
      </c>
      <c r="B20" s="17">
        <v>9</v>
      </c>
      <c r="C20" s="199" t="str">
        <f>VLOOKUP(B20,Começo!A:D,3,0)</f>
        <v>Direito Tributário</v>
      </c>
      <c r="D20" s="199"/>
      <c r="E20" s="199"/>
      <c r="F20" s="199"/>
      <c r="G20" s="194">
        <f>IFERROR(COUNTIF(Tabela112[#This Row],"sim"),"")*Começo!D22+SUM(Tabela112[#This Row])</f>
        <v>0</v>
      </c>
      <c r="H20" s="194"/>
      <c r="I20" s="194"/>
      <c r="J20" s="194"/>
      <c r="K20" s="158" t="s">
        <v>92</v>
      </c>
      <c r="L20" s="158" t="s">
        <v>92</v>
      </c>
      <c r="M20" s="158" t="s">
        <v>92</v>
      </c>
      <c r="N20" s="158" t="s">
        <v>92</v>
      </c>
      <c r="O20" s="158" t="s">
        <v>92</v>
      </c>
      <c r="P20" s="158" t="s">
        <v>92</v>
      </c>
      <c r="Q20" s="158" t="s">
        <v>92</v>
      </c>
      <c r="R20" s="158" t="s">
        <v>92</v>
      </c>
      <c r="S20" s="158" t="s">
        <v>92</v>
      </c>
      <c r="T20" s="158" t="s">
        <v>92</v>
      </c>
      <c r="U20" s="158" t="s">
        <v>92</v>
      </c>
      <c r="V20" s="158" t="s">
        <v>92</v>
      </c>
      <c r="W20" s="158" t="s">
        <v>92</v>
      </c>
      <c r="X20" s="158" t="s">
        <v>92</v>
      </c>
      <c r="Y20" s="158" t="s">
        <v>92</v>
      </c>
      <c r="Z20" s="158" t="s">
        <v>92</v>
      </c>
      <c r="AA20" s="158" t="s">
        <v>92</v>
      </c>
      <c r="AB20" s="158" t="s">
        <v>92</v>
      </c>
      <c r="AC20" s="158" t="s">
        <v>92</v>
      </c>
      <c r="AD20" s="158" t="s">
        <v>92</v>
      </c>
      <c r="AE20" s="158" t="s">
        <v>92</v>
      </c>
      <c r="AF20" s="158" t="s">
        <v>92</v>
      </c>
      <c r="AG20" s="158" t="s">
        <v>92</v>
      </c>
      <c r="AH20" s="158" t="s">
        <v>92</v>
      </c>
      <c r="AI20" s="158" t="s">
        <v>92</v>
      </c>
      <c r="AJ20" s="158" t="s">
        <v>92</v>
      </c>
      <c r="AK20" s="158" t="s">
        <v>92</v>
      </c>
      <c r="AL20" s="158" t="s">
        <v>92</v>
      </c>
      <c r="AM20" s="158" t="s">
        <v>92</v>
      </c>
      <c r="AN20" s="158" t="s">
        <v>92</v>
      </c>
    </row>
    <row r="21" spans="1:40" ht="26.1" customHeight="1" thickBot="1" x14ac:dyDescent="0.3">
      <c r="A21" s="1" t="s">
        <v>89</v>
      </c>
      <c r="B21" s="17">
        <v>10</v>
      </c>
      <c r="C21" s="199" t="str">
        <f>VLOOKUP(B21,Começo!A:D,3,0)</f>
        <v>Inglês</v>
      </c>
      <c r="D21" s="199"/>
      <c r="E21" s="199"/>
      <c r="F21" s="199"/>
      <c r="G21" s="194">
        <f>IFERROR(COUNTIF(Tabela112[#This Row],"sim"),"")*Começo!D23+SUM(Tabela112[#This Row])</f>
        <v>0</v>
      </c>
      <c r="H21" s="194"/>
      <c r="I21" s="194"/>
      <c r="J21" s="194"/>
      <c r="K21" s="158" t="s">
        <v>92</v>
      </c>
      <c r="L21" s="158" t="s">
        <v>92</v>
      </c>
      <c r="M21" s="158" t="s">
        <v>92</v>
      </c>
      <c r="N21" s="158" t="s">
        <v>92</v>
      </c>
      <c r="O21" s="158" t="s">
        <v>92</v>
      </c>
      <c r="P21" s="158" t="s">
        <v>92</v>
      </c>
      <c r="Q21" s="158" t="s">
        <v>92</v>
      </c>
      <c r="R21" s="158" t="s">
        <v>92</v>
      </c>
      <c r="S21" s="158" t="s">
        <v>92</v>
      </c>
      <c r="T21" s="158" t="s">
        <v>92</v>
      </c>
      <c r="U21" s="158" t="s">
        <v>92</v>
      </c>
      <c r="V21" s="158" t="s">
        <v>92</v>
      </c>
      <c r="W21" s="158" t="s">
        <v>92</v>
      </c>
      <c r="X21" s="158" t="s">
        <v>92</v>
      </c>
      <c r="Y21" s="158" t="s">
        <v>92</v>
      </c>
      <c r="Z21" s="158" t="s">
        <v>92</v>
      </c>
      <c r="AA21" s="158" t="s">
        <v>92</v>
      </c>
      <c r="AB21" s="158" t="s">
        <v>92</v>
      </c>
      <c r="AC21" s="158" t="s">
        <v>92</v>
      </c>
      <c r="AD21" s="158" t="s">
        <v>92</v>
      </c>
      <c r="AE21" s="158" t="s">
        <v>92</v>
      </c>
      <c r="AF21" s="158" t="s">
        <v>92</v>
      </c>
      <c r="AG21" s="158" t="s">
        <v>92</v>
      </c>
      <c r="AH21" s="158" t="s">
        <v>92</v>
      </c>
      <c r="AI21" s="158" t="s">
        <v>92</v>
      </c>
      <c r="AJ21" s="158" t="s">
        <v>92</v>
      </c>
      <c r="AK21" s="158" t="s">
        <v>92</v>
      </c>
      <c r="AL21" s="158" t="s">
        <v>92</v>
      </c>
      <c r="AM21" s="158" t="s">
        <v>92</v>
      </c>
      <c r="AN21" s="158" t="s">
        <v>92</v>
      </c>
    </row>
    <row r="22" spans="1:40" ht="26.1" customHeight="1" thickBot="1" x14ac:dyDescent="0.3">
      <c r="A22" s="1" t="s">
        <v>89</v>
      </c>
      <c r="B22" s="17">
        <v>11</v>
      </c>
      <c r="C22" s="199" t="str">
        <f>VLOOKUP(B22,Começo!A:D,3,0)</f>
        <v>Análise de Sistemas</v>
      </c>
      <c r="D22" s="199"/>
      <c r="E22" s="199"/>
      <c r="F22" s="199"/>
      <c r="G22" s="194">
        <f>IFERROR(COUNTIF(Tabela112[#This Row],"sim"),"")*Começo!D24+SUM(Tabela112[#This Row])</f>
        <v>0</v>
      </c>
      <c r="H22" s="194"/>
      <c r="I22" s="194"/>
      <c r="J22" s="194"/>
      <c r="K22" s="158" t="s">
        <v>92</v>
      </c>
      <c r="L22" s="158" t="s">
        <v>92</v>
      </c>
      <c r="M22" s="158" t="s">
        <v>92</v>
      </c>
      <c r="N22" s="158" t="s">
        <v>92</v>
      </c>
      <c r="O22" s="158" t="s">
        <v>92</v>
      </c>
      <c r="P22" s="158" t="s">
        <v>92</v>
      </c>
      <c r="Q22" s="158" t="s">
        <v>92</v>
      </c>
      <c r="R22" s="158" t="s">
        <v>92</v>
      </c>
      <c r="S22" s="158" t="s">
        <v>92</v>
      </c>
      <c r="T22" s="158" t="s">
        <v>92</v>
      </c>
      <c r="U22" s="158" t="s">
        <v>92</v>
      </c>
      <c r="V22" s="158" t="s">
        <v>92</v>
      </c>
      <c r="W22" s="158" t="s">
        <v>92</v>
      </c>
      <c r="X22" s="158" t="s">
        <v>92</v>
      </c>
      <c r="Y22" s="158" t="s">
        <v>92</v>
      </c>
      <c r="Z22" s="158" t="s">
        <v>92</v>
      </c>
      <c r="AA22" s="158" t="s">
        <v>92</v>
      </c>
      <c r="AB22" s="158" t="s">
        <v>92</v>
      </c>
      <c r="AC22" s="158" t="s">
        <v>92</v>
      </c>
      <c r="AD22" s="158" t="s">
        <v>92</v>
      </c>
      <c r="AE22" s="158" t="s">
        <v>92</v>
      </c>
      <c r="AF22" s="158" t="s">
        <v>92</v>
      </c>
      <c r="AG22" s="158" t="s">
        <v>92</v>
      </c>
      <c r="AH22" s="158" t="s">
        <v>92</v>
      </c>
      <c r="AI22" s="158" t="s">
        <v>92</v>
      </c>
      <c r="AJ22" s="158" t="s">
        <v>92</v>
      </c>
      <c r="AK22" s="158" t="s">
        <v>92</v>
      </c>
      <c r="AL22" s="158" t="s">
        <v>92</v>
      </c>
      <c r="AM22" s="158" t="s">
        <v>92</v>
      </c>
      <c r="AN22" s="158" t="s">
        <v>92</v>
      </c>
    </row>
    <row r="23" spans="1:40" ht="26.1" customHeight="1" thickBot="1" x14ac:dyDescent="0.3">
      <c r="A23" s="1" t="s">
        <v>89</v>
      </c>
      <c r="B23" s="17">
        <v>12</v>
      </c>
      <c r="C23" s="199" t="str">
        <f>VLOOKUP(B23,Começo!A:D,3,0)</f>
        <v>Direito Legislativo</v>
      </c>
      <c r="D23" s="199"/>
      <c r="E23" s="199"/>
      <c r="F23" s="199"/>
      <c r="G23" s="194">
        <f>IFERROR(COUNTIF(Tabela112[#This Row],"sim"),"")*Começo!D25+SUM(Tabela112[#This Row])</f>
        <v>0</v>
      </c>
      <c r="H23" s="194"/>
      <c r="I23" s="194"/>
      <c r="J23" s="194"/>
      <c r="K23" s="158" t="s">
        <v>92</v>
      </c>
      <c r="L23" s="158" t="s">
        <v>92</v>
      </c>
      <c r="M23" s="158" t="s">
        <v>92</v>
      </c>
      <c r="N23" s="158" t="s">
        <v>92</v>
      </c>
      <c r="O23" s="158" t="s">
        <v>92</v>
      </c>
      <c r="P23" s="158" t="s">
        <v>92</v>
      </c>
      <c r="Q23" s="158" t="s">
        <v>92</v>
      </c>
      <c r="R23" s="158" t="s">
        <v>92</v>
      </c>
      <c r="S23" s="158" t="s">
        <v>92</v>
      </c>
      <c r="T23" s="158" t="s">
        <v>92</v>
      </c>
      <c r="U23" s="158" t="s">
        <v>92</v>
      </c>
      <c r="V23" s="158" t="s">
        <v>92</v>
      </c>
      <c r="W23" s="158" t="s">
        <v>92</v>
      </c>
      <c r="X23" s="158" t="s">
        <v>92</v>
      </c>
      <c r="Y23" s="158" t="s">
        <v>92</v>
      </c>
      <c r="Z23" s="158" t="s">
        <v>92</v>
      </c>
      <c r="AA23" s="158" t="s">
        <v>92</v>
      </c>
      <c r="AB23" s="158" t="s">
        <v>92</v>
      </c>
      <c r="AC23" s="158" t="s">
        <v>92</v>
      </c>
      <c r="AD23" s="158" t="s">
        <v>92</v>
      </c>
      <c r="AE23" s="158" t="s">
        <v>92</v>
      </c>
      <c r="AF23" s="158" t="s">
        <v>92</v>
      </c>
      <c r="AG23" s="158" t="s">
        <v>92</v>
      </c>
      <c r="AH23" s="158" t="s">
        <v>92</v>
      </c>
      <c r="AI23" s="158" t="s">
        <v>92</v>
      </c>
      <c r="AJ23" s="158" t="s">
        <v>92</v>
      </c>
      <c r="AK23" s="158" t="s">
        <v>92</v>
      </c>
      <c r="AL23" s="158" t="s">
        <v>92</v>
      </c>
      <c r="AM23" s="158" t="s">
        <v>92</v>
      </c>
      <c r="AN23" s="158" t="s">
        <v>92</v>
      </c>
    </row>
    <row r="24" spans="1:40" ht="26.1" customHeight="1" thickBot="1" x14ac:dyDescent="0.3">
      <c r="A24" s="1" t="s">
        <v>89</v>
      </c>
      <c r="B24" s="17">
        <v>13</v>
      </c>
      <c r="C24" s="199" t="str">
        <f>VLOOKUP(B24,Começo!A:D,3,0)</f>
        <v>Mecânica dos Fluídos</v>
      </c>
      <c r="D24" s="199"/>
      <c r="E24" s="199"/>
      <c r="F24" s="199"/>
      <c r="G24" s="194">
        <f>IFERROR(COUNTIF(Tabela112[#This Row],"sim"),"")*Começo!D26+SUM(Tabela112[#This Row])</f>
        <v>0</v>
      </c>
      <c r="H24" s="194"/>
      <c r="I24" s="194"/>
      <c r="J24" s="194"/>
      <c r="K24" s="158" t="s">
        <v>92</v>
      </c>
      <c r="L24" s="158" t="s">
        <v>92</v>
      </c>
      <c r="M24" s="158" t="s">
        <v>92</v>
      </c>
      <c r="N24" s="158" t="s">
        <v>92</v>
      </c>
      <c r="O24" s="158" t="s">
        <v>92</v>
      </c>
      <c r="P24" s="158" t="s">
        <v>92</v>
      </c>
      <c r="Q24" s="158" t="s">
        <v>92</v>
      </c>
      <c r="R24" s="158" t="s">
        <v>92</v>
      </c>
      <c r="S24" s="158" t="s">
        <v>92</v>
      </c>
      <c r="T24" s="158" t="s">
        <v>92</v>
      </c>
      <c r="U24" s="158" t="s">
        <v>92</v>
      </c>
      <c r="V24" s="158" t="s">
        <v>92</v>
      </c>
      <c r="W24" s="158" t="s">
        <v>92</v>
      </c>
      <c r="X24" s="158" t="s">
        <v>92</v>
      </c>
      <c r="Y24" s="158" t="s">
        <v>92</v>
      </c>
      <c r="Z24" s="158" t="s">
        <v>92</v>
      </c>
      <c r="AA24" s="158" t="s">
        <v>92</v>
      </c>
      <c r="AB24" s="158" t="s">
        <v>92</v>
      </c>
      <c r="AC24" s="158" t="s">
        <v>92</v>
      </c>
      <c r="AD24" s="158" t="s">
        <v>92</v>
      </c>
      <c r="AE24" s="158" t="s">
        <v>92</v>
      </c>
      <c r="AF24" s="158" t="s">
        <v>92</v>
      </c>
      <c r="AG24" s="158" t="s">
        <v>92</v>
      </c>
      <c r="AH24" s="158" t="s">
        <v>92</v>
      </c>
      <c r="AI24" s="158" t="s">
        <v>92</v>
      </c>
      <c r="AJ24" s="158" t="s">
        <v>92</v>
      </c>
      <c r="AK24" s="158" t="s">
        <v>92</v>
      </c>
      <c r="AL24" s="158" t="s">
        <v>92</v>
      </c>
      <c r="AM24" s="158" t="s">
        <v>92</v>
      </c>
      <c r="AN24" s="158" t="s">
        <v>92</v>
      </c>
    </row>
    <row r="25" spans="1:40" ht="26.1" customHeight="1" thickBot="1" x14ac:dyDescent="0.3">
      <c r="A25" s="1" t="s">
        <v>89</v>
      </c>
      <c r="B25" s="17">
        <v>14</v>
      </c>
      <c r="C25" s="199" t="str">
        <f>VLOOKUP(B25,Começo!A:D,3,0)</f>
        <v>IoT</v>
      </c>
      <c r="D25" s="199"/>
      <c r="E25" s="199"/>
      <c r="F25" s="199"/>
      <c r="G25" s="194">
        <f>IFERROR(COUNTIF(Tabela112[#This Row],"sim"),"")*Começo!D27+SUM(Tabela112[#This Row])</f>
        <v>0</v>
      </c>
      <c r="H25" s="194"/>
      <c r="I25" s="194"/>
      <c r="J25" s="194"/>
      <c r="K25" s="158" t="s">
        <v>92</v>
      </c>
      <c r="L25" s="158" t="s">
        <v>92</v>
      </c>
      <c r="M25" s="158" t="s">
        <v>92</v>
      </c>
      <c r="N25" s="158" t="s">
        <v>92</v>
      </c>
      <c r="O25" s="158" t="s">
        <v>92</v>
      </c>
      <c r="P25" s="158" t="s">
        <v>92</v>
      </c>
      <c r="Q25" s="158" t="s">
        <v>92</v>
      </c>
      <c r="R25" s="158" t="s">
        <v>92</v>
      </c>
      <c r="S25" s="158" t="s">
        <v>92</v>
      </c>
      <c r="T25" s="158" t="s">
        <v>92</v>
      </c>
      <c r="U25" s="158" t="s">
        <v>92</v>
      </c>
      <c r="V25" s="158" t="s">
        <v>92</v>
      </c>
      <c r="W25" s="158" t="s">
        <v>92</v>
      </c>
      <c r="X25" s="158" t="s">
        <v>92</v>
      </c>
      <c r="Y25" s="158" t="s">
        <v>92</v>
      </c>
      <c r="Z25" s="158" t="s">
        <v>92</v>
      </c>
      <c r="AA25" s="158" t="s">
        <v>92</v>
      </c>
      <c r="AB25" s="158" t="s">
        <v>92</v>
      </c>
      <c r="AC25" s="158" t="s">
        <v>92</v>
      </c>
      <c r="AD25" s="158" t="s">
        <v>92</v>
      </c>
      <c r="AE25" s="158" t="s">
        <v>92</v>
      </c>
      <c r="AF25" s="158" t="s">
        <v>92</v>
      </c>
      <c r="AG25" s="158" t="s">
        <v>92</v>
      </c>
      <c r="AH25" s="158" t="s">
        <v>92</v>
      </c>
      <c r="AI25" s="158" t="s">
        <v>92</v>
      </c>
      <c r="AJ25" s="158" t="s">
        <v>92</v>
      </c>
      <c r="AK25" s="158" t="s">
        <v>92</v>
      </c>
      <c r="AL25" s="158" t="s">
        <v>92</v>
      </c>
      <c r="AM25" s="158" t="s">
        <v>92</v>
      </c>
      <c r="AN25" s="158" t="s">
        <v>92</v>
      </c>
    </row>
    <row r="26" spans="1:40" ht="26.1" customHeight="1" thickBot="1" x14ac:dyDescent="0.3">
      <c r="A26" s="1" t="s">
        <v>89</v>
      </c>
      <c r="B26" s="17">
        <v>15</v>
      </c>
      <c r="C26" s="199" t="str">
        <f>VLOOKUP(B26,Começo!A:D,3,0)</f>
        <v>Astrologia</v>
      </c>
      <c r="D26" s="199"/>
      <c r="E26" s="199"/>
      <c r="F26" s="199"/>
      <c r="G26" s="194">
        <f>IFERROR(COUNTIF(Tabela112[#This Row],"sim"),"")*Começo!D28+SUM(Tabela112[#This Row])</f>
        <v>0</v>
      </c>
      <c r="H26" s="194"/>
      <c r="I26" s="194"/>
      <c r="J26" s="194"/>
      <c r="K26" s="158" t="s">
        <v>92</v>
      </c>
      <c r="L26" s="158" t="s">
        <v>92</v>
      </c>
      <c r="M26" s="158" t="s">
        <v>92</v>
      </c>
      <c r="N26" s="158" t="s">
        <v>92</v>
      </c>
      <c r="O26" s="158" t="s">
        <v>92</v>
      </c>
      <c r="P26" s="158" t="s">
        <v>92</v>
      </c>
      <c r="Q26" s="158" t="s">
        <v>92</v>
      </c>
      <c r="R26" s="158" t="s">
        <v>92</v>
      </c>
      <c r="S26" s="158" t="s">
        <v>92</v>
      </c>
      <c r="T26" s="158" t="s">
        <v>92</v>
      </c>
      <c r="U26" s="158" t="s">
        <v>92</v>
      </c>
      <c r="V26" s="158" t="s">
        <v>92</v>
      </c>
      <c r="W26" s="158" t="s">
        <v>92</v>
      </c>
      <c r="X26" s="158" t="s">
        <v>92</v>
      </c>
      <c r="Y26" s="158" t="s">
        <v>92</v>
      </c>
      <c r="Z26" s="158" t="s">
        <v>92</v>
      </c>
      <c r="AA26" s="158" t="s">
        <v>92</v>
      </c>
      <c r="AB26" s="158" t="s">
        <v>92</v>
      </c>
      <c r="AC26" s="158" t="s">
        <v>92</v>
      </c>
      <c r="AD26" s="158" t="s">
        <v>92</v>
      </c>
      <c r="AE26" s="158" t="s">
        <v>92</v>
      </c>
      <c r="AF26" s="158" t="s">
        <v>92</v>
      </c>
      <c r="AG26" s="158" t="s">
        <v>92</v>
      </c>
      <c r="AH26" s="158" t="s">
        <v>92</v>
      </c>
      <c r="AI26" s="158" t="s">
        <v>92</v>
      </c>
      <c r="AJ26" s="158" t="s">
        <v>92</v>
      </c>
      <c r="AK26" s="158" t="s">
        <v>92</v>
      </c>
      <c r="AL26" s="158" t="s">
        <v>92</v>
      </c>
      <c r="AM26" s="158" t="s">
        <v>92</v>
      </c>
      <c r="AN26" s="158" t="s">
        <v>92</v>
      </c>
    </row>
    <row r="27" spans="1:40" ht="26.1" customHeight="1" thickBot="1" x14ac:dyDescent="0.3">
      <c r="A27" s="1" t="s">
        <v>89</v>
      </c>
      <c r="B27" s="17">
        <v>16</v>
      </c>
      <c r="C27" s="199" t="str">
        <f>VLOOKUP(B27,Começo!A:D,3,0)</f>
        <v>Colorimetria</v>
      </c>
      <c r="D27" s="199"/>
      <c r="E27" s="199"/>
      <c r="F27" s="199"/>
      <c r="G27" s="194">
        <f>IFERROR(COUNTIF(Tabela112[#This Row],"sim"),"")*Começo!D29+SUM(Tabela112[#This Row])</f>
        <v>0</v>
      </c>
      <c r="H27" s="194"/>
      <c r="I27" s="194"/>
      <c r="J27" s="194"/>
      <c r="K27" s="158" t="s">
        <v>92</v>
      </c>
      <c r="L27" s="158" t="s">
        <v>92</v>
      </c>
      <c r="M27" s="158" t="s">
        <v>92</v>
      </c>
      <c r="N27" s="158" t="s">
        <v>92</v>
      </c>
      <c r="O27" s="158" t="s">
        <v>92</v>
      </c>
      <c r="P27" s="158" t="s">
        <v>92</v>
      </c>
      <c r="Q27" s="158" t="s">
        <v>92</v>
      </c>
      <c r="R27" s="158" t="s">
        <v>92</v>
      </c>
      <c r="S27" s="158" t="s">
        <v>92</v>
      </c>
      <c r="T27" s="158" t="s">
        <v>92</v>
      </c>
      <c r="U27" s="158" t="s">
        <v>92</v>
      </c>
      <c r="V27" s="158" t="s">
        <v>92</v>
      </c>
      <c r="W27" s="158" t="s">
        <v>92</v>
      </c>
      <c r="X27" s="158" t="s">
        <v>92</v>
      </c>
      <c r="Y27" s="158" t="s">
        <v>92</v>
      </c>
      <c r="Z27" s="158" t="s">
        <v>92</v>
      </c>
      <c r="AA27" s="158" t="s">
        <v>92</v>
      </c>
      <c r="AB27" s="158" t="s">
        <v>92</v>
      </c>
      <c r="AC27" s="158" t="s">
        <v>92</v>
      </c>
      <c r="AD27" s="158" t="s">
        <v>92</v>
      </c>
      <c r="AE27" s="158" t="s">
        <v>92</v>
      </c>
      <c r="AF27" s="158" t="s">
        <v>92</v>
      </c>
      <c r="AG27" s="158" t="s">
        <v>92</v>
      </c>
      <c r="AH27" s="158" t="s">
        <v>92</v>
      </c>
      <c r="AI27" s="158" t="s">
        <v>92</v>
      </c>
      <c r="AJ27" s="158" t="s">
        <v>92</v>
      </c>
      <c r="AK27" s="158" t="s">
        <v>92</v>
      </c>
      <c r="AL27" s="158" t="s">
        <v>92</v>
      </c>
      <c r="AM27" s="158" t="s">
        <v>92</v>
      </c>
      <c r="AN27" s="158" t="s">
        <v>92</v>
      </c>
    </row>
    <row r="28" spans="1:40" ht="16.5" x14ac:dyDescent="0.25">
      <c r="K28" s="159">
        <f>SUBTOTAL(109,Tabela112[1-nov])</f>
        <v>0</v>
      </c>
      <c r="L28" s="159">
        <f>SUBTOTAL(109,Tabela112[2-nov])</f>
        <v>0</v>
      </c>
      <c r="M28" s="159">
        <f>SUBTOTAL(109,Tabela112[3-nov])</f>
        <v>0</v>
      </c>
      <c r="N28" s="159">
        <f>SUBTOTAL(109,Tabela112[4-nov])</f>
        <v>0</v>
      </c>
      <c r="O28" s="159">
        <f>SUBTOTAL(109,Tabela112[5-nov])</f>
        <v>0</v>
      </c>
      <c r="P28" s="159">
        <f>SUBTOTAL(109,Tabela112[6-nov])</f>
        <v>0</v>
      </c>
      <c r="Q28" s="159">
        <f>SUBTOTAL(109,Tabela112[7-nov])</f>
        <v>0</v>
      </c>
      <c r="R28" s="159">
        <f>SUBTOTAL(109,Tabela112[8-nov])</f>
        <v>0</v>
      </c>
      <c r="S28" s="159">
        <f>SUBTOTAL(109,Tabela112[9-nov])</f>
        <v>0</v>
      </c>
      <c r="T28" s="159">
        <f>SUBTOTAL(109,Tabela112[10-nov])</f>
        <v>0</v>
      </c>
      <c r="U28" s="159">
        <f>SUBTOTAL(109,Tabela112[11-nov])</f>
        <v>0</v>
      </c>
      <c r="V28" s="159">
        <f>SUBTOTAL(109,Tabela112[12-nov])</f>
        <v>0</v>
      </c>
      <c r="W28" s="159">
        <f>SUBTOTAL(109,Tabela112[13-nov])</f>
        <v>0</v>
      </c>
      <c r="X28" s="159">
        <f>SUBTOTAL(109,Tabela112[14-nov])</f>
        <v>0</v>
      </c>
      <c r="Y28" s="159">
        <f>SUBTOTAL(109,Tabela112[15-nov])</f>
        <v>0</v>
      </c>
      <c r="Z28" s="159">
        <f>SUBTOTAL(109,Tabela112[16-nov])</f>
        <v>0</v>
      </c>
      <c r="AA28" s="159">
        <f>SUBTOTAL(109,Tabela112[17-nov])</f>
        <v>0</v>
      </c>
      <c r="AB28" s="159">
        <f>SUBTOTAL(109,Tabela112[18-nov])</f>
        <v>0</v>
      </c>
      <c r="AC28" s="159">
        <f>SUBTOTAL(109,Tabela112[19-nov])</f>
        <v>0</v>
      </c>
      <c r="AD28" s="159">
        <f>SUBTOTAL(109,Tabela112[20-nov])</f>
        <v>0</v>
      </c>
      <c r="AE28" s="159">
        <f>SUBTOTAL(109,Tabela112[21-nov])</f>
        <v>0</v>
      </c>
      <c r="AF28" s="159">
        <f>SUBTOTAL(109,Tabela112[22-nov])</f>
        <v>0</v>
      </c>
      <c r="AG28" s="159">
        <f>SUBTOTAL(109,Tabela112[23-nov])</f>
        <v>0</v>
      </c>
      <c r="AH28" s="159">
        <f>SUBTOTAL(109,Tabela112[24-nov])</f>
        <v>0</v>
      </c>
      <c r="AI28" s="159">
        <f>SUBTOTAL(109,Tabela112[25-nov])</f>
        <v>0</v>
      </c>
      <c r="AJ28" s="159">
        <f>SUBTOTAL(109,Tabela112[26-nov])</f>
        <v>0</v>
      </c>
      <c r="AK28" s="159">
        <f>SUBTOTAL(109,Tabela112[27-nov])</f>
        <v>0</v>
      </c>
      <c r="AL28" s="159">
        <f>SUBTOTAL(109,Tabela112[28-nov])</f>
        <v>0</v>
      </c>
      <c r="AM28" s="159">
        <f>SUBTOTAL(109,Tabela112[29-nov])</f>
        <v>0</v>
      </c>
      <c r="AN28" s="159">
        <f>SUBTOTAL(109,Tabela112[30-nov])</f>
        <v>0</v>
      </c>
    </row>
    <row r="30" spans="1:40" x14ac:dyDescent="0.25">
      <c r="B30" s="188"/>
      <c r="C30" s="188"/>
    </row>
    <row r="31" spans="1:40" x14ac:dyDescent="0.25">
      <c r="B31" s="188"/>
      <c r="C31" s="188"/>
    </row>
  </sheetData>
  <sheetProtection algorithmName="SHA-512" hashValue="pMww5LGJx0dh6yoYVVsf1UUZnaheb3jrwLV0QPo32GnJ+2F8I+9ByZKR0Jk5jiG+0io2tnSs0IOtHTCwt4NdLQ==" saltValue="D3kkZ0eSU2RUut7BSGq1Pw==" spinCount="100000" sheet="1" objects="1" scenarios="1"/>
  <mergeCells count="49">
    <mergeCell ref="C26:F26"/>
    <mergeCell ref="G26:J26"/>
    <mergeCell ref="C27:F27"/>
    <mergeCell ref="G27:J27"/>
    <mergeCell ref="C23:F23"/>
    <mergeCell ref="G23:J23"/>
    <mergeCell ref="C24:F24"/>
    <mergeCell ref="G24:J24"/>
    <mergeCell ref="C25:F25"/>
    <mergeCell ref="G25:J25"/>
    <mergeCell ref="C20:F20"/>
    <mergeCell ref="G20:J20"/>
    <mergeCell ref="C21:F21"/>
    <mergeCell ref="G21:J21"/>
    <mergeCell ref="C22:F22"/>
    <mergeCell ref="G22:J22"/>
    <mergeCell ref="C17:F17"/>
    <mergeCell ref="G17:J17"/>
    <mergeCell ref="C18:F18"/>
    <mergeCell ref="G18:J18"/>
    <mergeCell ref="C19:F19"/>
    <mergeCell ref="G19:J19"/>
    <mergeCell ref="C14:F14"/>
    <mergeCell ref="G14:J14"/>
    <mergeCell ref="C15:F15"/>
    <mergeCell ref="G15:J15"/>
    <mergeCell ref="C16:F16"/>
    <mergeCell ref="G16:J16"/>
    <mergeCell ref="H8:H9"/>
    <mergeCell ref="I8:I9"/>
    <mergeCell ref="J8:J9"/>
    <mergeCell ref="C13:F13"/>
    <mergeCell ref="G13:J13"/>
    <mergeCell ref="B30:C31"/>
    <mergeCell ref="L8:L9"/>
    <mergeCell ref="M8:M9"/>
    <mergeCell ref="O7:Q7"/>
    <mergeCell ref="O8:Q9"/>
    <mergeCell ref="B11:F11"/>
    <mergeCell ref="G11:J11"/>
    <mergeCell ref="K8:K9"/>
    <mergeCell ref="C12:F12"/>
    <mergeCell ref="G12:J12"/>
    <mergeCell ref="B8:B9"/>
    <mergeCell ref="C8:C9"/>
    <mergeCell ref="D8:D9"/>
    <mergeCell ref="E8:E9"/>
    <mergeCell ref="F8:F9"/>
    <mergeCell ref="G8:G9"/>
  </mergeCells>
  <conditionalFormatting sqref="K12:AN27">
    <cfRule type="containsText" dxfId="65" priority="3" operator="containsText" text="não">
      <formula>NOT(ISERROR(SEARCH("não",K12)))</formula>
    </cfRule>
    <cfRule type="containsText" dxfId="64" priority="4" operator="containsText" text="sim">
      <formula>NOT(ISERROR(SEARCH("sim",K12)))</formula>
    </cfRule>
  </conditionalFormatting>
  <conditionalFormatting sqref="G12:J2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{93C1E12E-E122-4A2B-AA94-1CA4A88A62C1}</x14:id>
        </ext>
      </extLst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{A61E8A64-66AD-4C8F-A0CF-64E1AEABE2EC}</x14:id>
        </ext>
      </extLst>
    </cfRule>
  </conditionalFormatting>
  <dataValidations count="1">
    <dataValidation type="list" allowBlank="1" showInputMessage="1" showErrorMessage="1" sqref="K12:AN27" xr:uid="{00000000-0002-0000-1E00-000000000000}">
      <formula1>"Sim,Não,00:30,01:00,01:30,02:00,02:30,03:00,03:30,04:00"</formula1>
    </dataValidation>
  </dataValidations>
  <hyperlinks>
    <hyperlink ref="B8" location="Desempenho!A1" display="janeiro" xr:uid="{00000000-0004-0000-1E00-000000000000}"/>
    <hyperlink ref="C8" location="fev!A1" display="Fevereiro" xr:uid="{00000000-0004-0000-1E00-000001000000}"/>
    <hyperlink ref="D8" location="mar!A1" display="Março" xr:uid="{00000000-0004-0000-1E00-000002000000}"/>
    <hyperlink ref="E8" location="abr!A1" display="Abril" xr:uid="{00000000-0004-0000-1E00-000003000000}"/>
    <hyperlink ref="F8" location="maio!A1" display="Maio" xr:uid="{00000000-0004-0000-1E00-000004000000}"/>
    <hyperlink ref="G8" location="jun!A1" display="Junho" xr:uid="{00000000-0004-0000-1E00-000005000000}"/>
    <hyperlink ref="H8" location="jul!A1" display="Julho" xr:uid="{00000000-0004-0000-1E00-000006000000}"/>
    <hyperlink ref="I8" location="ago!A1" display="Agosto" xr:uid="{00000000-0004-0000-1E00-000007000000}"/>
    <hyperlink ref="J8" location="set!A1" display="Setembro" xr:uid="{00000000-0004-0000-1E00-000008000000}"/>
    <hyperlink ref="K8" location="out!A1" display="Outubro" xr:uid="{00000000-0004-0000-1E00-000009000000}"/>
    <hyperlink ref="L8" location="nov!A1" display="Novembro" xr:uid="{00000000-0004-0000-1E00-00000A000000}"/>
    <hyperlink ref="M8" location="dez!A1" display="Dezembro" xr:uid="{00000000-0004-0000-1E00-00000B000000}"/>
  </hyperlink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C1E12E-E122-4A2B-AA94-1CA4A88A62C1}">
            <x14:dataBar minLength="0" maxLength="100" gradient="0">
              <x14:cfvo type="autoMin"/>
              <x14:cfvo type="autoMax"/>
              <x14:negativeFillColor rgb="FFFF0000"/>
              <x14:axisColor theme="0"/>
            </x14:dataBar>
          </x14:cfRule>
          <x14:cfRule type="dataBar" id="{A61E8A64-66AD-4C8F-A0CF-64E1AEABE2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G12:J27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ilha33"/>
  <dimension ref="A1:AO31"/>
  <sheetViews>
    <sheetView showGridLines="0" workbookViewId="0">
      <pane ySplit="4" topLeftCell="A5" activePane="bottomLeft" state="frozen"/>
      <selection activeCell="A5" sqref="A5"/>
      <selection pane="bottomLeft"/>
    </sheetView>
  </sheetViews>
  <sheetFormatPr defaultRowHeight="15" x14ac:dyDescent="0.25"/>
  <cols>
    <col min="1" max="1" width="3.85546875" style="27" customWidth="1"/>
    <col min="2" max="2" width="8.140625" style="27" bestFit="1" customWidth="1"/>
    <col min="3" max="3" width="10.5703125" style="27" bestFit="1" customWidth="1"/>
    <col min="4" max="4" width="7.5703125" style="27" bestFit="1" customWidth="1"/>
    <col min="5" max="5" width="6.140625" style="27" bestFit="1" customWidth="1"/>
    <col min="6" max="6" width="6.28515625" style="27" bestFit="1" customWidth="1"/>
    <col min="7" max="7" width="7.42578125" style="27" bestFit="1" customWidth="1"/>
    <col min="8" max="8" width="6.7109375" style="27" bestFit="1" customWidth="1"/>
    <col min="9" max="9" width="8.5703125" style="27" bestFit="1" customWidth="1"/>
    <col min="10" max="10" width="11" style="27" bestFit="1" customWidth="1"/>
    <col min="11" max="11" width="9.7109375" style="27" bestFit="1" customWidth="1"/>
    <col min="12" max="12" width="12" style="27" bestFit="1" customWidth="1"/>
    <col min="13" max="13" width="11.5703125" style="27" bestFit="1" customWidth="1"/>
    <col min="14" max="16384" width="9.140625" style="27"/>
  </cols>
  <sheetData>
    <row r="1" spans="1:41" s="38" customFormat="1" x14ac:dyDescent="0.25"/>
    <row r="2" spans="1:41" s="38" customFormat="1" x14ac:dyDescent="0.25"/>
    <row r="3" spans="1:41" s="38" customFormat="1" x14ac:dyDescent="0.25"/>
    <row r="4" spans="1:41" s="38" customFormat="1" x14ac:dyDescent="0.25"/>
    <row r="5" spans="1:41" s="63" customFormat="1" ht="3.95" customHeight="1" x14ac:dyDescent="0.25"/>
    <row r="6" spans="1:41" ht="15" customHeight="1" x14ac:dyDescent="0.25"/>
    <row r="7" spans="1:41" ht="15" customHeight="1" thickBot="1" x14ac:dyDescent="0.3">
      <c r="O7" s="246" t="s">
        <v>36</v>
      </c>
      <c r="P7" s="246"/>
      <c r="Q7" s="246"/>
    </row>
    <row r="8" spans="1:41" ht="15" customHeight="1" x14ac:dyDescent="0.25">
      <c r="A8" s="31"/>
      <c r="B8" s="250" t="s">
        <v>133</v>
      </c>
      <c r="C8" s="248" t="s">
        <v>25</v>
      </c>
      <c r="D8" s="248" t="s">
        <v>26</v>
      </c>
      <c r="E8" s="248" t="s">
        <v>27</v>
      </c>
      <c r="F8" s="248" t="s">
        <v>28</v>
      </c>
      <c r="G8" s="248" t="s">
        <v>29</v>
      </c>
      <c r="H8" s="248" t="s">
        <v>30</v>
      </c>
      <c r="I8" s="248" t="s">
        <v>31</v>
      </c>
      <c r="J8" s="248" t="s">
        <v>32</v>
      </c>
      <c r="K8" s="248" t="s">
        <v>33</v>
      </c>
      <c r="L8" s="248" t="s">
        <v>34</v>
      </c>
      <c r="M8" s="248" t="s">
        <v>35</v>
      </c>
      <c r="N8" s="51"/>
      <c r="O8" s="196">
        <f>SUM(G12:J27)</f>
        <v>0</v>
      </c>
      <c r="P8" s="196"/>
      <c r="Q8" s="196"/>
    </row>
    <row r="9" spans="1:41" ht="15" customHeight="1" x14ac:dyDescent="0.25">
      <c r="A9" s="31"/>
      <c r="B9" s="249"/>
      <c r="C9" s="249"/>
      <c r="D9" s="249"/>
      <c r="E9" s="249"/>
      <c r="F9" s="249"/>
      <c r="G9" s="249"/>
      <c r="H9" s="249"/>
      <c r="I9" s="249"/>
      <c r="J9" s="249"/>
      <c r="K9" s="249"/>
      <c r="L9" s="249"/>
      <c r="M9" s="249"/>
      <c r="N9" s="52"/>
      <c r="O9" s="196"/>
      <c r="P9" s="196"/>
      <c r="Q9" s="196"/>
    </row>
    <row r="10" spans="1:41" ht="15" customHeight="1" x14ac:dyDescent="0.25">
      <c r="A10" s="18"/>
      <c r="B10" s="18"/>
      <c r="C10" s="18"/>
      <c r="D10" s="18"/>
      <c r="E10" s="18"/>
      <c r="F10" s="18"/>
      <c r="G10" s="18"/>
      <c r="H10" s="18"/>
      <c r="I10" s="18"/>
      <c r="J10" s="18"/>
      <c r="O10" s="32"/>
      <c r="P10" s="32"/>
      <c r="Q10" s="32"/>
    </row>
    <row r="11" spans="1:41" ht="20.25" x14ac:dyDescent="0.25">
      <c r="A11" s="19"/>
      <c r="B11" s="198" t="s">
        <v>134</v>
      </c>
      <c r="C11" s="198"/>
      <c r="D11" s="198"/>
      <c r="E11" s="198"/>
      <c r="F11" s="198"/>
      <c r="G11" s="195" t="s">
        <v>37</v>
      </c>
      <c r="H11" s="195"/>
      <c r="I11" s="195"/>
      <c r="J11" s="195"/>
      <c r="K11" s="21" t="s">
        <v>446</v>
      </c>
      <c r="L11" s="21" t="s">
        <v>447</v>
      </c>
      <c r="M11" s="21" t="s">
        <v>448</v>
      </c>
      <c r="N11" s="21" t="s">
        <v>449</v>
      </c>
      <c r="O11" s="21" t="s">
        <v>450</v>
      </c>
      <c r="P11" s="21" t="s">
        <v>451</v>
      </c>
      <c r="Q11" s="21" t="s">
        <v>452</v>
      </c>
      <c r="R11" s="21" t="s">
        <v>453</v>
      </c>
      <c r="S11" s="21" t="s">
        <v>454</v>
      </c>
      <c r="T11" s="21" t="s">
        <v>455</v>
      </c>
      <c r="U11" s="21" t="s">
        <v>456</v>
      </c>
      <c r="V11" s="21" t="s">
        <v>457</v>
      </c>
      <c r="W11" s="21" t="s">
        <v>458</v>
      </c>
      <c r="X11" s="21" t="s">
        <v>459</v>
      </c>
      <c r="Y11" s="21" t="s">
        <v>460</v>
      </c>
      <c r="Z11" s="21" t="s">
        <v>461</v>
      </c>
      <c r="AA11" s="21" t="s">
        <v>462</v>
      </c>
      <c r="AB11" s="21" t="s">
        <v>463</v>
      </c>
      <c r="AC11" s="21" t="s">
        <v>464</v>
      </c>
      <c r="AD11" s="21" t="s">
        <v>465</v>
      </c>
      <c r="AE11" s="21" t="s">
        <v>466</v>
      </c>
      <c r="AF11" s="21" t="s">
        <v>467</v>
      </c>
      <c r="AG11" s="21" t="s">
        <v>468</v>
      </c>
      <c r="AH11" s="21" t="s">
        <v>469</v>
      </c>
      <c r="AI11" s="21" t="s">
        <v>470</v>
      </c>
      <c r="AJ11" s="21" t="s">
        <v>471</v>
      </c>
      <c r="AK11" s="21" t="s">
        <v>472</v>
      </c>
      <c r="AL11" s="21" t="s">
        <v>473</v>
      </c>
      <c r="AM11" s="21" t="s">
        <v>474</v>
      </c>
      <c r="AN11" s="21" t="s">
        <v>475</v>
      </c>
      <c r="AO11" s="21" t="s">
        <v>476</v>
      </c>
    </row>
    <row r="12" spans="1:41" ht="26.1" customHeight="1" thickBot="1" x14ac:dyDescent="0.3">
      <c r="A12" s="1" t="s">
        <v>89</v>
      </c>
      <c r="B12" s="16">
        <v>1</v>
      </c>
      <c r="C12" s="199" t="str">
        <f>VLOOKUP(B12,Começo!A:D,3,0)</f>
        <v>Português</v>
      </c>
      <c r="D12" s="199"/>
      <c r="E12" s="199"/>
      <c r="F12" s="199"/>
      <c r="G12" s="194">
        <f>IFERROR(COUNTIF(Tabela113[#This Row],"sim"),"")*Começo!D14+SUM(Tabela113[#This Row])</f>
        <v>0</v>
      </c>
      <c r="H12" s="194"/>
      <c r="I12" s="194"/>
      <c r="J12" s="194"/>
      <c r="K12" s="158" t="s">
        <v>92</v>
      </c>
      <c r="L12" s="158" t="s">
        <v>92</v>
      </c>
      <c r="M12" s="158" t="s">
        <v>92</v>
      </c>
      <c r="N12" s="158" t="s">
        <v>92</v>
      </c>
      <c r="O12" s="158" t="s">
        <v>92</v>
      </c>
      <c r="P12" s="158" t="s">
        <v>92</v>
      </c>
      <c r="Q12" s="158" t="s">
        <v>92</v>
      </c>
      <c r="R12" s="158" t="s">
        <v>92</v>
      </c>
      <c r="S12" s="158" t="s">
        <v>92</v>
      </c>
      <c r="T12" s="158" t="s">
        <v>92</v>
      </c>
      <c r="U12" s="158" t="s">
        <v>92</v>
      </c>
      <c r="V12" s="158" t="s">
        <v>92</v>
      </c>
      <c r="W12" s="158" t="s">
        <v>92</v>
      </c>
      <c r="X12" s="158" t="s">
        <v>92</v>
      </c>
      <c r="Y12" s="158" t="s">
        <v>92</v>
      </c>
      <c r="Z12" s="158" t="s">
        <v>92</v>
      </c>
      <c r="AA12" s="158" t="s">
        <v>92</v>
      </c>
      <c r="AB12" s="158" t="s">
        <v>92</v>
      </c>
      <c r="AC12" s="158" t="s">
        <v>92</v>
      </c>
      <c r="AD12" s="158" t="s">
        <v>92</v>
      </c>
      <c r="AE12" s="158" t="s">
        <v>92</v>
      </c>
      <c r="AF12" s="158" t="s">
        <v>92</v>
      </c>
      <c r="AG12" s="158" t="s">
        <v>92</v>
      </c>
      <c r="AH12" s="158" t="s">
        <v>92</v>
      </c>
      <c r="AI12" s="158" t="s">
        <v>92</v>
      </c>
      <c r="AJ12" s="158" t="s">
        <v>92</v>
      </c>
      <c r="AK12" s="158" t="s">
        <v>92</v>
      </c>
      <c r="AL12" s="158" t="s">
        <v>92</v>
      </c>
      <c r="AM12" s="158" t="s">
        <v>92</v>
      </c>
      <c r="AN12" s="158" t="s">
        <v>92</v>
      </c>
      <c r="AO12" s="158" t="s">
        <v>92</v>
      </c>
    </row>
    <row r="13" spans="1:41" ht="26.1" customHeight="1" thickBot="1" x14ac:dyDescent="0.3">
      <c r="A13" s="1" t="s">
        <v>89</v>
      </c>
      <c r="B13" s="17">
        <v>2</v>
      </c>
      <c r="C13" s="199" t="str">
        <f>VLOOKUP(B13,Começo!A:D,3,0)</f>
        <v>Matemática</v>
      </c>
      <c r="D13" s="199"/>
      <c r="E13" s="199"/>
      <c r="F13" s="199"/>
      <c r="G13" s="194">
        <f>IFERROR(COUNTIF(Tabela113[#This Row],"sim"),"")*Começo!D15+SUM(Tabela113[#This Row])</f>
        <v>0</v>
      </c>
      <c r="H13" s="194"/>
      <c r="I13" s="194"/>
      <c r="J13" s="194"/>
      <c r="K13" s="158" t="s">
        <v>92</v>
      </c>
      <c r="L13" s="158" t="s">
        <v>92</v>
      </c>
      <c r="M13" s="158" t="s">
        <v>92</v>
      </c>
      <c r="N13" s="158" t="s">
        <v>92</v>
      </c>
      <c r="O13" s="158" t="s">
        <v>92</v>
      </c>
      <c r="P13" s="158" t="s">
        <v>92</v>
      </c>
      <c r="Q13" s="158" t="s">
        <v>92</v>
      </c>
      <c r="R13" s="158" t="s">
        <v>92</v>
      </c>
      <c r="S13" s="158" t="s">
        <v>92</v>
      </c>
      <c r="T13" s="158" t="s">
        <v>92</v>
      </c>
      <c r="U13" s="158" t="s">
        <v>92</v>
      </c>
      <c r="V13" s="158" t="s">
        <v>92</v>
      </c>
      <c r="W13" s="158" t="s">
        <v>92</v>
      </c>
      <c r="X13" s="158" t="s">
        <v>92</v>
      </c>
      <c r="Y13" s="158" t="s">
        <v>92</v>
      </c>
      <c r="Z13" s="158" t="s">
        <v>92</v>
      </c>
      <c r="AA13" s="158" t="s">
        <v>92</v>
      </c>
      <c r="AB13" s="158" t="s">
        <v>92</v>
      </c>
      <c r="AC13" s="158" t="s">
        <v>92</v>
      </c>
      <c r="AD13" s="158" t="s">
        <v>92</v>
      </c>
      <c r="AE13" s="158" t="s">
        <v>92</v>
      </c>
      <c r="AF13" s="158" t="s">
        <v>92</v>
      </c>
      <c r="AG13" s="158" t="s">
        <v>92</v>
      </c>
      <c r="AH13" s="158" t="s">
        <v>92</v>
      </c>
      <c r="AI13" s="158" t="s">
        <v>92</v>
      </c>
      <c r="AJ13" s="158" t="s">
        <v>92</v>
      </c>
      <c r="AK13" s="158" t="s">
        <v>92</v>
      </c>
      <c r="AL13" s="158" t="s">
        <v>92</v>
      </c>
      <c r="AM13" s="158" t="s">
        <v>92</v>
      </c>
      <c r="AN13" s="158" t="s">
        <v>92</v>
      </c>
      <c r="AO13" s="158" t="s">
        <v>92</v>
      </c>
    </row>
    <row r="14" spans="1:41" ht="26.1" customHeight="1" thickBot="1" x14ac:dyDescent="0.3">
      <c r="A14" s="1" t="s">
        <v>89</v>
      </c>
      <c r="B14" s="17">
        <v>3</v>
      </c>
      <c r="C14" s="199" t="str">
        <f>VLOOKUP(B14,Começo!A:D,3,0)</f>
        <v>História</v>
      </c>
      <c r="D14" s="199"/>
      <c r="E14" s="199"/>
      <c r="F14" s="199"/>
      <c r="G14" s="194">
        <f>IFERROR(COUNTIF(Tabela113[#This Row],"sim"),"")*Começo!D16+SUM(Tabela113[#This Row])</f>
        <v>0</v>
      </c>
      <c r="H14" s="194"/>
      <c r="I14" s="194"/>
      <c r="J14" s="194"/>
      <c r="K14" s="158" t="s">
        <v>92</v>
      </c>
      <c r="L14" s="158" t="s">
        <v>92</v>
      </c>
      <c r="M14" s="158" t="s">
        <v>92</v>
      </c>
      <c r="N14" s="158" t="s">
        <v>92</v>
      </c>
      <c r="O14" s="158" t="s">
        <v>92</v>
      </c>
      <c r="P14" s="158" t="s">
        <v>92</v>
      </c>
      <c r="Q14" s="158" t="s">
        <v>92</v>
      </c>
      <c r="R14" s="158" t="s">
        <v>92</v>
      </c>
      <c r="S14" s="158" t="s">
        <v>92</v>
      </c>
      <c r="T14" s="158" t="s">
        <v>92</v>
      </c>
      <c r="U14" s="158" t="s">
        <v>92</v>
      </c>
      <c r="V14" s="158" t="s">
        <v>92</v>
      </c>
      <c r="W14" s="158" t="s">
        <v>92</v>
      </c>
      <c r="X14" s="158" t="s">
        <v>92</v>
      </c>
      <c r="Y14" s="158" t="s">
        <v>92</v>
      </c>
      <c r="Z14" s="158" t="s">
        <v>92</v>
      </c>
      <c r="AA14" s="158" t="s">
        <v>92</v>
      </c>
      <c r="AB14" s="158" t="s">
        <v>92</v>
      </c>
      <c r="AC14" s="158" t="s">
        <v>92</v>
      </c>
      <c r="AD14" s="158" t="s">
        <v>92</v>
      </c>
      <c r="AE14" s="158" t="s">
        <v>92</v>
      </c>
      <c r="AF14" s="158" t="s">
        <v>92</v>
      </c>
      <c r="AG14" s="158" t="s">
        <v>92</v>
      </c>
      <c r="AH14" s="158" t="s">
        <v>92</v>
      </c>
      <c r="AI14" s="158" t="s">
        <v>92</v>
      </c>
      <c r="AJ14" s="158" t="s">
        <v>92</v>
      </c>
      <c r="AK14" s="158" t="s">
        <v>92</v>
      </c>
      <c r="AL14" s="158" t="s">
        <v>92</v>
      </c>
      <c r="AM14" s="158" t="s">
        <v>92</v>
      </c>
      <c r="AN14" s="158" t="s">
        <v>92</v>
      </c>
      <c r="AO14" s="158" t="s">
        <v>92</v>
      </c>
    </row>
    <row r="15" spans="1:41" ht="26.1" customHeight="1" thickBot="1" x14ac:dyDescent="0.3">
      <c r="A15" s="1" t="s">
        <v>89</v>
      </c>
      <c r="B15" s="17">
        <v>4</v>
      </c>
      <c r="C15" s="199" t="str">
        <f>VLOOKUP(B15,Começo!A:D,3,0)</f>
        <v>Física</v>
      </c>
      <c r="D15" s="199"/>
      <c r="E15" s="199"/>
      <c r="F15" s="199"/>
      <c r="G15" s="194">
        <f>IFERROR(COUNTIF(Tabela113[#This Row],"sim"),"")*Começo!D17+SUM(Tabela113[#This Row])</f>
        <v>0</v>
      </c>
      <c r="H15" s="194"/>
      <c r="I15" s="194"/>
      <c r="J15" s="194"/>
      <c r="K15" s="158" t="s">
        <v>92</v>
      </c>
      <c r="L15" s="158" t="s">
        <v>92</v>
      </c>
      <c r="M15" s="158" t="s">
        <v>92</v>
      </c>
      <c r="N15" s="158" t="s">
        <v>92</v>
      </c>
      <c r="O15" s="158" t="s">
        <v>92</v>
      </c>
      <c r="P15" s="158" t="s">
        <v>92</v>
      </c>
      <c r="Q15" s="158" t="s">
        <v>92</v>
      </c>
      <c r="R15" s="158" t="s">
        <v>92</v>
      </c>
      <c r="S15" s="158" t="s">
        <v>92</v>
      </c>
      <c r="T15" s="158" t="s">
        <v>92</v>
      </c>
      <c r="U15" s="158" t="s">
        <v>92</v>
      </c>
      <c r="V15" s="158" t="s">
        <v>92</v>
      </c>
      <c r="W15" s="158" t="s">
        <v>92</v>
      </c>
      <c r="X15" s="158" t="s">
        <v>92</v>
      </c>
      <c r="Y15" s="158" t="s">
        <v>92</v>
      </c>
      <c r="Z15" s="158" t="s">
        <v>92</v>
      </c>
      <c r="AA15" s="158" t="s">
        <v>92</v>
      </c>
      <c r="AB15" s="158" t="s">
        <v>92</v>
      </c>
      <c r="AC15" s="158" t="s">
        <v>92</v>
      </c>
      <c r="AD15" s="158" t="s">
        <v>92</v>
      </c>
      <c r="AE15" s="158" t="s">
        <v>92</v>
      </c>
      <c r="AF15" s="158" t="s">
        <v>92</v>
      </c>
      <c r="AG15" s="158" t="s">
        <v>92</v>
      </c>
      <c r="AH15" s="158" t="s">
        <v>92</v>
      </c>
      <c r="AI15" s="158" t="s">
        <v>92</v>
      </c>
      <c r="AJ15" s="158" t="s">
        <v>92</v>
      </c>
      <c r="AK15" s="158" t="s">
        <v>92</v>
      </c>
      <c r="AL15" s="158" t="s">
        <v>92</v>
      </c>
      <c r="AM15" s="158" t="s">
        <v>92</v>
      </c>
      <c r="AN15" s="158" t="s">
        <v>92</v>
      </c>
      <c r="AO15" s="158" t="s">
        <v>92</v>
      </c>
    </row>
    <row r="16" spans="1:41" ht="26.1" customHeight="1" thickBot="1" x14ac:dyDescent="0.3">
      <c r="A16" s="1" t="s">
        <v>89</v>
      </c>
      <c r="B16" s="17">
        <v>5</v>
      </c>
      <c r="C16" s="199" t="str">
        <f>VLOOKUP(B16,Começo!A:D,3,0)</f>
        <v>Quimíca</v>
      </c>
      <c r="D16" s="199"/>
      <c r="E16" s="199"/>
      <c r="F16" s="199"/>
      <c r="G16" s="194">
        <f>IFERROR(COUNTIF(Tabela113[#This Row],"sim"),"")*Começo!D18+SUM(Tabela113[#This Row])</f>
        <v>0</v>
      </c>
      <c r="H16" s="194"/>
      <c r="I16" s="194"/>
      <c r="J16" s="194"/>
      <c r="K16" s="158" t="s">
        <v>92</v>
      </c>
      <c r="L16" s="158" t="s">
        <v>92</v>
      </c>
      <c r="M16" s="158" t="s">
        <v>92</v>
      </c>
      <c r="N16" s="158" t="s">
        <v>92</v>
      </c>
      <c r="O16" s="158" t="s">
        <v>92</v>
      </c>
      <c r="P16" s="158" t="s">
        <v>92</v>
      </c>
      <c r="Q16" s="158" t="s">
        <v>92</v>
      </c>
      <c r="R16" s="158" t="s">
        <v>92</v>
      </c>
      <c r="S16" s="158" t="s">
        <v>92</v>
      </c>
      <c r="T16" s="158" t="s">
        <v>92</v>
      </c>
      <c r="U16" s="158" t="s">
        <v>92</v>
      </c>
      <c r="V16" s="158" t="s">
        <v>92</v>
      </c>
      <c r="W16" s="158" t="s">
        <v>92</v>
      </c>
      <c r="X16" s="158" t="s">
        <v>92</v>
      </c>
      <c r="Y16" s="158" t="s">
        <v>92</v>
      </c>
      <c r="Z16" s="158" t="s">
        <v>92</v>
      </c>
      <c r="AA16" s="158" t="s">
        <v>92</v>
      </c>
      <c r="AB16" s="158" t="s">
        <v>92</v>
      </c>
      <c r="AC16" s="158" t="s">
        <v>92</v>
      </c>
      <c r="AD16" s="158" t="s">
        <v>92</v>
      </c>
      <c r="AE16" s="158" t="s">
        <v>92</v>
      </c>
      <c r="AF16" s="158" t="s">
        <v>92</v>
      </c>
      <c r="AG16" s="158" t="s">
        <v>92</v>
      </c>
      <c r="AH16" s="158" t="s">
        <v>92</v>
      </c>
      <c r="AI16" s="158" t="s">
        <v>92</v>
      </c>
      <c r="AJ16" s="158" t="s">
        <v>92</v>
      </c>
      <c r="AK16" s="158" t="s">
        <v>92</v>
      </c>
      <c r="AL16" s="158" t="s">
        <v>92</v>
      </c>
      <c r="AM16" s="158" t="s">
        <v>92</v>
      </c>
      <c r="AN16" s="158" t="s">
        <v>92</v>
      </c>
      <c r="AO16" s="158" t="s">
        <v>92</v>
      </c>
    </row>
    <row r="17" spans="1:41" ht="26.1" customHeight="1" thickBot="1" x14ac:dyDescent="0.3">
      <c r="A17" s="1" t="s">
        <v>89</v>
      </c>
      <c r="B17" s="17">
        <v>6</v>
      </c>
      <c r="C17" s="199" t="str">
        <f>VLOOKUP(B17,Começo!A:D,3,0)</f>
        <v>Legislação</v>
      </c>
      <c r="D17" s="199"/>
      <c r="E17" s="199"/>
      <c r="F17" s="199"/>
      <c r="G17" s="194">
        <f>IFERROR(COUNTIF(Tabela113[#This Row],"sim"),"")*Começo!D19+SUM(Tabela113[#This Row])</f>
        <v>0</v>
      </c>
      <c r="H17" s="194"/>
      <c r="I17" s="194"/>
      <c r="J17" s="194"/>
      <c r="K17" s="158" t="s">
        <v>92</v>
      </c>
      <c r="L17" s="158" t="s">
        <v>92</v>
      </c>
      <c r="M17" s="158" t="s">
        <v>92</v>
      </c>
      <c r="N17" s="158" t="s">
        <v>92</v>
      </c>
      <c r="O17" s="158" t="s">
        <v>92</v>
      </c>
      <c r="P17" s="158" t="s">
        <v>92</v>
      </c>
      <c r="Q17" s="158" t="s">
        <v>92</v>
      </c>
      <c r="R17" s="158" t="s">
        <v>92</v>
      </c>
      <c r="S17" s="158" t="s">
        <v>92</v>
      </c>
      <c r="T17" s="158" t="s">
        <v>92</v>
      </c>
      <c r="U17" s="158" t="s">
        <v>92</v>
      </c>
      <c r="V17" s="158" t="s">
        <v>92</v>
      </c>
      <c r="W17" s="158" t="s">
        <v>92</v>
      </c>
      <c r="X17" s="158" t="s">
        <v>92</v>
      </c>
      <c r="Y17" s="158" t="s">
        <v>92</v>
      </c>
      <c r="Z17" s="158" t="s">
        <v>92</v>
      </c>
      <c r="AA17" s="158" t="s">
        <v>92</v>
      </c>
      <c r="AB17" s="158" t="s">
        <v>92</v>
      </c>
      <c r="AC17" s="158" t="s">
        <v>92</v>
      </c>
      <c r="AD17" s="158" t="s">
        <v>92</v>
      </c>
      <c r="AE17" s="158" t="s">
        <v>92</v>
      </c>
      <c r="AF17" s="158" t="s">
        <v>92</v>
      </c>
      <c r="AG17" s="158" t="s">
        <v>92</v>
      </c>
      <c r="AH17" s="158" t="s">
        <v>92</v>
      </c>
      <c r="AI17" s="158" t="s">
        <v>92</v>
      </c>
      <c r="AJ17" s="158" t="s">
        <v>92</v>
      </c>
      <c r="AK17" s="158" t="s">
        <v>92</v>
      </c>
      <c r="AL17" s="158" t="s">
        <v>92</v>
      </c>
      <c r="AM17" s="158" t="s">
        <v>92</v>
      </c>
      <c r="AN17" s="158" t="s">
        <v>92</v>
      </c>
      <c r="AO17" s="158" t="s">
        <v>92</v>
      </c>
    </row>
    <row r="18" spans="1:41" ht="26.1" customHeight="1" thickBot="1" x14ac:dyDescent="0.3">
      <c r="A18" s="1" t="s">
        <v>89</v>
      </c>
      <c r="B18" s="17">
        <v>7</v>
      </c>
      <c r="C18" s="199" t="str">
        <f>VLOOKUP(B18,Começo!A:D,3,0)</f>
        <v>Processo Penal</v>
      </c>
      <c r="D18" s="199"/>
      <c r="E18" s="199"/>
      <c r="F18" s="199"/>
      <c r="G18" s="194">
        <f>IFERROR(COUNTIF(Tabela113[#This Row],"sim"),"")*Começo!D20+SUM(Tabela113[#This Row])</f>
        <v>0</v>
      </c>
      <c r="H18" s="194"/>
      <c r="I18" s="194"/>
      <c r="J18" s="194"/>
      <c r="K18" s="158" t="s">
        <v>92</v>
      </c>
      <c r="L18" s="158" t="s">
        <v>92</v>
      </c>
      <c r="M18" s="158" t="s">
        <v>92</v>
      </c>
      <c r="N18" s="158" t="s">
        <v>92</v>
      </c>
      <c r="O18" s="158" t="s">
        <v>92</v>
      </c>
      <c r="P18" s="158" t="s">
        <v>92</v>
      </c>
      <c r="Q18" s="158" t="s">
        <v>92</v>
      </c>
      <c r="R18" s="158" t="s">
        <v>92</v>
      </c>
      <c r="S18" s="158" t="s">
        <v>92</v>
      </c>
      <c r="T18" s="158" t="s">
        <v>92</v>
      </c>
      <c r="U18" s="158" t="s">
        <v>92</v>
      </c>
      <c r="V18" s="158" t="s">
        <v>92</v>
      </c>
      <c r="W18" s="158" t="s">
        <v>92</v>
      </c>
      <c r="X18" s="158" t="s">
        <v>92</v>
      </c>
      <c r="Y18" s="158" t="s">
        <v>92</v>
      </c>
      <c r="Z18" s="158" t="s">
        <v>92</v>
      </c>
      <c r="AA18" s="158" t="s">
        <v>92</v>
      </c>
      <c r="AB18" s="158" t="s">
        <v>92</v>
      </c>
      <c r="AC18" s="158" t="s">
        <v>92</v>
      </c>
      <c r="AD18" s="158" t="s">
        <v>92</v>
      </c>
      <c r="AE18" s="158" t="s">
        <v>92</v>
      </c>
      <c r="AF18" s="158" t="s">
        <v>92</v>
      </c>
      <c r="AG18" s="158" t="s">
        <v>92</v>
      </c>
      <c r="AH18" s="158" t="s">
        <v>92</v>
      </c>
      <c r="AI18" s="158" t="s">
        <v>92</v>
      </c>
      <c r="AJ18" s="158" t="s">
        <v>92</v>
      </c>
      <c r="AK18" s="158" t="s">
        <v>92</v>
      </c>
      <c r="AL18" s="158" t="s">
        <v>92</v>
      </c>
      <c r="AM18" s="158" t="s">
        <v>92</v>
      </c>
      <c r="AN18" s="158" t="s">
        <v>92</v>
      </c>
      <c r="AO18" s="158" t="s">
        <v>92</v>
      </c>
    </row>
    <row r="19" spans="1:41" ht="26.1" customHeight="1" thickBot="1" x14ac:dyDescent="0.3">
      <c r="A19" s="1" t="s">
        <v>89</v>
      </c>
      <c r="B19" s="17">
        <v>8</v>
      </c>
      <c r="C19" s="199" t="str">
        <f>VLOOKUP(B19,Começo!A:D,3,0)</f>
        <v>Direito Administrativo</v>
      </c>
      <c r="D19" s="199"/>
      <c r="E19" s="199"/>
      <c r="F19" s="199"/>
      <c r="G19" s="194">
        <f>IFERROR(COUNTIF(Tabela113[#This Row],"sim"),"")*Começo!D21+SUM(Tabela113[#This Row])</f>
        <v>0</v>
      </c>
      <c r="H19" s="194"/>
      <c r="I19" s="194"/>
      <c r="J19" s="194"/>
      <c r="K19" s="158" t="s">
        <v>92</v>
      </c>
      <c r="L19" s="158" t="s">
        <v>92</v>
      </c>
      <c r="M19" s="158" t="s">
        <v>92</v>
      </c>
      <c r="N19" s="158" t="s">
        <v>92</v>
      </c>
      <c r="O19" s="158" t="s">
        <v>92</v>
      </c>
      <c r="P19" s="158" t="s">
        <v>92</v>
      </c>
      <c r="Q19" s="158" t="s">
        <v>92</v>
      </c>
      <c r="R19" s="158" t="s">
        <v>92</v>
      </c>
      <c r="S19" s="158" t="s">
        <v>92</v>
      </c>
      <c r="T19" s="158" t="s">
        <v>92</v>
      </c>
      <c r="U19" s="158" t="s">
        <v>92</v>
      </c>
      <c r="V19" s="158" t="s">
        <v>92</v>
      </c>
      <c r="W19" s="158" t="s">
        <v>92</v>
      </c>
      <c r="X19" s="158" t="s">
        <v>92</v>
      </c>
      <c r="Y19" s="158" t="s">
        <v>92</v>
      </c>
      <c r="Z19" s="158" t="s">
        <v>92</v>
      </c>
      <c r="AA19" s="158" t="s">
        <v>92</v>
      </c>
      <c r="AB19" s="158" t="s">
        <v>92</v>
      </c>
      <c r="AC19" s="158" t="s">
        <v>92</v>
      </c>
      <c r="AD19" s="158" t="s">
        <v>92</v>
      </c>
      <c r="AE19" s="158" t="s">
        <v>92</v>
      </c>
      <c r="AF19" s="158" t="s">
        <v>92</v>
      </c>
      <c r="AG19" s="158" t="s">
        <v>92</v>
      </c>
      <c r="AH19" s="158" t="s">
        <v>92</v>
      </c>
      <c r="AI19" s="158" t="s">
        <v>92</v>
      </c>
      <c r="AJ19" s="158" t="s">
        <v>92</v>
      </c>
      <c r="AK19" s="158" t="s">
        <v>92</v>
      </c>
      <c r="AL19" s="158" t="s">
        <v>92</v>
      </c>
      <c r="AM19" s="158" t="s">
        <v>92</v>
      </c>
      <c r="AN19" s="158" t="s">
        <v>92</v>
      </c>
      <c r="AO19" s="158" t="s">
        <v>92</v>
      </c>
    </row>
    <row r="20" spans="1:41" ht="26.1" customHeight="1" thickBot="1" x14ac:dyDescent="0.3">
      <c r="A20" s="1" t="s">
        <v>89</v>
      </c>
      <c r="B20" s="17">
        <v>9</v>
      </c>
      <c r="C20" s="199" t="str">
        <f>VLOOKUP(B20,Começo!A:D,3,0)</f>
        <v>Direito Tributário</v>
      </c>
      <c r="D20" s="199"/>
      <c r="E20" s="199"/>
      <c r="F20" s="199"/>
      <c r="G20" s="194">
        <f>IFERROR(COUNTIF(Tabela113[#This Row],"sim"),"")*Começo!D22+SUM(Tabela113[#This Row])</f>
        <v>0</v>
      </c>
      <c r="H20" s="194"/>
      <c r="I20" s="194"/>
      <c r="J20" s="194"/>
      <c r="K20" s="158" t="s">
        <v>92</v>
      </c>
      <c r="L20" s="158" t="s">
        <v>92</v>
      </c>
      <c r="M20" s="158" t="s">
        <v>92</v>
      </c>
      <c r="N20" s="158" t="s">
        <v>92</v>
      </c>
      <c r="O20" s="158" t="s">
        <v>92</v>
      </c>
      <c r="P20" s="158" t="s">
        <v>92</v>
      </c>
      <c r="Q20" s="158" t="s">
        <v>92</v>
      </c>
      <c r="R20" s="158" t="s">
        <v>92</v>
      </c>
      <c r="S20" s="158" t="s">
        <v>92</v>
      </c>
      <c r="T20" s="158" t="s">
        <v>92</v>
      </c>
      <c r="U20" s="158" t="s">
        <v>92</v>
      </c>
      <c r="V20" s="158" t="s">
        <v>92</v>
      </c>
      <c r="W20" s="158" t="s">
        <v>92</v>
      </c>
      <c r="X20" s="158" t="s">
        <v>92</v>
      </c>
      <c r="Y20" s="158" t="s">
        <v>92</v>
      </c>
      <c r="Z20" s="158" t="s">
        <v>92</v>
      </c>
      <c r="AA20" s="158" t="s">
        <v>92</v>
      </c>
      <c r="AB20" s="158" t="s">
        <v>92</v>
      </c>
      <c r="AC20" s="158" t="s">
        <v>92</v>
      </c>
      <c r="AD20" s="158" t="s">
        <v>92</v>
      </c>
      <c r="AE20" s="158" t="s">
        <v>92</v>
      </c>
      <c r="AF20" s="158" t="s">
        <v>92</v>
      </c>
      <c r="AG20" s="158" t="s">
        <v>92</v>
      </c>
      <c r="AH20" s="158" t="s">
        <v>92</v>
      </c>
      <c r="AI20" s="158" t="s">
        <v>92</v>
      </c>
      <c r="AJ20" s="158" t="s">
        <v>92</v>
      </c>
      <c r="AK20" s="158" t="s">
        <v>92</v>
      </c>
      <c r="AL20" s="158" t="s">
        <v>92</v>
      </c>
      <c r="AM20" s="158" t="s">
        <v>92</v>
      </c>
      <c r="AN20" s="158" t="s">
        <v>92</v>
      </c>
      <c r="AO20" s="158" t="s">
        <v>92</v>
      </c>
    </row>
    <row r="21" spans="1:41" ht="26.1" customHeight="1" thickBot="1" x14ac:dyDescent="0.3">
      <c r="A21" s="1" t="s">
        <v>89</v>
      </c>
      <c r="B21" s="17">
        <v>10</v>
      </c>
      <c r="C21" s="199" t="str">
        <f>VLOOKUP(B21,Começo!A:D,3,0)</f>
        <v>Inglês</v>
      </c>
      <c r="D21" s="199"/>
      <c r="E21" s="199"/>
      <c r="F21" s="199"/>
      <c r="G21" s="194">
        <f>IFERROR(COUNTIF(Tabela113[#This Row],"sim"),"")*Começo!D23+SUM(Tabela113[#This Row])</f>
        <v>0</v>
      </c>
      <c r="H21" s="194"/>
      <c r="I21" s="194"/>
      <c r="J21" s="194"/>
      <c r="K21" s="158" t="s">
        <v>92</v>
      </c>
      <c r="L21" s="158" t="s">
        <v>92</v>
      </c>
      <c r="M21" s="158" t="s">
        <v>92</v>
      </c>
      <c r="N21" s="158" t="s">
        <v>92</v>
      </c>
      <c r="O21" s="158" t="s">
        <v>92</v>
      </c>
      <c r="P21" s="158" t="s">
        <v>92</v>
      </c>
      <c r="Q21" s="158" t="s">
        <v>92</v>
      </c>
      <c r="R21" s="158" t="s">
        <v>92</v>
      </c>
      <c r="S21" s="158" t="s">
        <v>92</v>
      </c>
      <c r="T21" s="158" t="s">
        <v>92</v>
      </c>
      <c r="U21" s="158" t="s">
        <v>92</v>
      </c>
      <c r="V21" s="158" t="s">
        <v>92</v>
      </c>
      <c r="W21" s="158" t="s">
        <v>92</v>
      </c>
      <c r="X21" s="158" t="s">
        <v>92</v>
      </c>
      <c r="Y21" s="158" t="s">
        <v>92</v>
      </c>
      <c r="Z21" s="158" t="s">
        <v>92</v>
      </c>
      <c r="AA21" s="158" t="s">
        <v>92</v>
      </c>
      <c r="AB21" s="158" t="s">
        <v>92</v>
      </c>
      <c r="AC21" s="158" t="s">
        <v>92</v>
      </c>
      <c r="AD21" s="158" t="s">
        <v>92</v>
      </c>
      <c r="AE21" s="158" t="s">
        <v>92</v>
      </c>
      <c r="AF21" s="158" t="s">
        <v>92</v>
      </c>
      <c r="AG21" s="158" t="s">
        <v>92</v>
      </c>
      <c r="AH21" s="158" t="s">
        <v>92</v>
      </c>
      <c r="AI21" s="158" t="s">
        <v>92</v>
      </c>
      <c r="AJ21" s="158" t="s">
        <v>92</v>
      </c>
      <c r="AK21" s="158" t="s">
        <v>92</v>
      </c>
      <c r="AL21" s="158" t="s">
        <v>92</v>
      </c>
      <c r="AM21" s="158" t="s">
        <v>92</v>
      </c>
      <c r="AN21" s="158" t="s">
        <v>92</v>
      </c>
      <c r="AO21" s="158" t="s">
        <v>92</v>
      </c>
    </row>
    <row r="22" spans="1:41" ht="26.1" customHeight="1" thickBot="1" x14ac:dyDescent="0.3">
      <c r="A22" s="1" t="s">
        <v>89</v>
      </c>
      <c r="B22" s="17">
        <v>11</v>
      </c>
      <c r="C22" s="199" t="str">
        <f>VLOOKUP(B22,Começo!A:D,3,0)</f>
        <v>Análise de Sistemas</v>
      </c>
      <c r="D22" s="199"/>
      <c r="E22" s="199"/>
      <c r="F22" s="199"/>
      <c r="G22" s="194">
        <f>IFERROR(COUNTIF(Tabela113[#This Row],"sim"),"")*Começo!D24+SUM(Tabela113[#This Row])</f>
        <v>0</v>
      </c>
      <c r="H22" s="194"/>
      <c r="I22" s="194"/>
      <c r="J22" s="194"/>
      <c r="K22" s="158" t="s">
        <v>92</v>
      </c>
      <c r="L22" s="158" t="s">
        <v>92</v>
      </c>
      <c r="M22" s="158" t="s">
        <v>92</v>
      </c>
      <c r="N22" s="158" t="s">
        <v>92</v>
      </c>
      <c r="O22" s="158" t="s">
        <v>92</v>
      </c>
      <c r="P22" s="158" t="s">
        <v>92</v>
      </c>
      <c r="Q22" s="158" t="s">
        <v>92</v>
      </c>
      <c r="R22" s="158" t="s">
        <v>92</v>
      </c>
      <c r="S22" s="158" t="s">
        <v>92</v>
      </c>
      <c r="T22" s="158" t="s">
        <v>92</v>
      </c>
      <c r="U22" s="158" t="s">
        <v>92</v>
      </c>
      <c r="V22" s="158" t="s">
        <v>92</v>
      </c>
      <c r="W22" s="158" t="s">
        <v>92</v>
      </c>
      <c r="X22" s="158" t="s">
        <v>92</v>
      </c>
      <c r="Y22" s="158" t="s">
        <v>92</v>
      </c>
      <c r="Z22" s="158" t="s">
        <v>92</v>
      </c>
      <c r="AA22" s="158" t="s">
        <v>92</v>
      </c>
      <c r="AB22" s="158" t="s">
        <v>92</v>
      </c>
      <c r="AC22" s="158" t="s">
        <v>92</v>
      </c>
      <c r="AD22" s="158" t="s">
        <v>92</v>
      </c>
      <c r="AE22" s="158" t="s">
        <v>92</v>
      </c>
      <c r="AF22" s="158" t="s">
        <v>92</v>
      </c>
      <c r="AG22" s="158" t="s">
        <v>92</v>
      </c>
      <c r="AH22" s="158" t="s">
        <v>92</v>
      </c>
      <c r="AI22" s="158" t="s">
        <v>92</v>
      </c>
      <c r="AJ22" s="158" t="s">
        <v>92</v>
      </c>
      <c r="AK22" s="158" t="s">
        <v>92</v>
      </c>
      <c r="AL22" s="158" t="s">
        <v>92</v>
      </c>
      <c r="AM22" s="158" t="s">
        <v>92</v>
      </c>
      <c r="AN22" s="158" t="s">
        <v>92</v>
      </c>
      <c r="AO22" s="158" t="s">
        <v>92</v>
      </c>
    </row>
    <row r="23" spans="1:41" ht="26.1" customHeight="1" thickBot="1" x14ac:dyDescent="0.3">
      <c r="A23" s="1" t="s">
        <v>89</v>
      </c>
      <c r="B23" s="17">
        <v>12</v>
      </c>
      <c r="C23" s="199" t="str">
        <f>VLOOKUP(B23,Começo!A:D,3,0)</f>
        <v>Direito Legislativo</v>
      </c>
      <c r="D23" s="199"/>
      <c r="E23" s="199"/>
      <c r="F23" s="199"/>
      <c r="G23" s="194">
        <f>IFERROR(COUNTIF(Tabela113[#This Row],"sim"),"")*Começo!D25+SUM(Tabela113[#This Row])</f>
        <v>0</v>
      </c>
      <c r="H23" s="194"/>
      <c r="I23" s="194"/>
      <c r="J23" s="194"/>
      <c r="K23" s="158" t="s">
        <v>92</v>
      </c>
      <c r="L23" s="158" t="s">
        <v>92</v>
      </c>
      <c r="M23" s="158" t="s">
        <v>92</v>
      </c>
      <c r="N23" s="158" t="s">
        <v>92</v>
      </c>
      <c r="O23" s="158" t="s">
        <v>92</v>
      </c>
      <c r="P23" s="158" t="s">
        <v>92</v>
      </c>
      <c r="Q23" s="158" t="s">
        <v>92</v>
      </c>
      <c r="R23" s="158" t="s">
        <v>92</v>
      </c>
      <c r="S23" s="158" t="s">
        <v>92</v>
      </c>
      <c r="T23" s="158" t="s">
        <v>92</v>
      </c>
      <c r="U23" s="158" t="s">
        <v>92</v>
      </c>
      <c r="V23" s="158" t="s">
        <v>92</v>
      </c>
      <c r="W23" s="158" t="s">
        <v>92</v>
      </c>
      <c r="X23" s="158" t="s">
        <v>92</v>
      </c>
      <c r="Y23" s="158" t="s">
        <v>92</v>
      </c>
      <c r="Z23" s="158" t="s">
        <v>92</v>
      </c>
      <c r="AA23" s="158" t="s">
        <v>92</v>
      </c>
      <c r="AB23" s="158" t="s">
        <v>92</v>
      </c>
      <c r="AC23" s="158" t="s">
        <v>92</v>
      </c>
      <c r="AD23" s="158" t="s">
        <v>92</v>
      </c>
      <c r="AE23" s="158" t="s">
        <v>92</v>
      </c>
      <c r="AF23" s="158" t="s">
        <v>92</v>
      </c>
      <c r="AG23" s="158" t="s">
        <v>92</v>
      </c>
      <c r="AH23" s="158" t="s">
        <v>92</v>
      </c>
      <c r="AI23" s="158" t="s">
        <v>92</v>
      </c>
      <c r="AJ23" s="158" t="s">
        <v>92</v>
      </c>
      <c r="AK23" s="158" t="s">
        <v>92</v>
      </c>
      <c r="AL23" s="158" t="s">
        <v>92</v>
      </c>
      <c r="AM23" s="158" t="s">
        <v>92</v>
      </c>
      <c r="AN23" s="158" t="s">
        <v>92</v>
      </c>
      <c r="AO23" s="158" t="s">
        <v>92</v>
      </c>
    </row>
    <row r="24" spans="1:41" ht="26.1" customHeight="1" thickBot="1" x14ac:dyDescent="0.3">
      <c r="A24" s="1" t="s">
        <v>89</v>
      </c>
      <c r="B24" s="17">
        <v>13</v>
      </c>
      <c r="C24" s="199" t="str">
        <f>VLOOKUP(B24,Começo!A:D,3,0)</f>
        <v>Mecânica dos Fluídos</v>
      </c>
      <c r="D24" s="199"/>
      <c r="E24" s="199"/>
      <c r="F24" s="199"/>
      <c r="G24" s="194">
        <f>IFERROR(COUNTIF(Tabela113[#This Row],"sim"),"")*Começo!D26+SUM(Tabela113[#This Row])</f>
        <v>0</v>
      </c>
      <c r="H24" s="194"/>
      <c r="I24" s="194"/>
      <c r="J24" s="194"/>
      <c r="K24" s="158" t="s">
        <v>92</v>
      </c>
      <c r="L24" s="158" t="s">
        <v>92</v>
      </c>
      <c r="M24" s="158" t="s">
        <v>92</v>
      </c>
      <c r="N24" s="158" t="s">
        <v>92</v>
      </c>
      <c r="O24" s="158" t="s">
        <v>92</v>
      </c>
      <c r="P24" s="158" t="s">
        <v>92</v>
      </c>
      <c r="Q24" s="158" t="s">
        <v>92</v>
      </c>
      <c r="R24" s="158" t="s">
        <v>92</v>
      </c>
      <c r="S24" s="158" t="s">
        <v>92</v>
      </c>
      <c r="T24" s="158" t="s">
        <v>92</v>
      </c>
      <c r="U24" s="158" t="s">
        <v>92</v>
      </c>
      <c r="V24" s="158" t="s">
        <v>92</v>
      </c>
      <c r="W24" s="158" t="s">
        <v>92</v>
      </c>
      <c r="X24" s="158" t="s">
        <v>92</v>
      </c>
      <c r="Y24" s="158" t="s">
        <v>92</v>
      </c>
      <c r="Z24" s="158" t="s">
        <v>92</v>
      </c>
      <c r="AA24" s="158" t="s">
        <v>92</v>
      </c>
      <c r="AB24" s="158" t="s">
        <v>92</v>
      </c>
      <c r="AC24" s="158" t="s">
        <v>92</v>
      </c>
      <c r="AD24" s="158" t="s">
        <v>92</v>
      </c>
      <c r="AE24" s="158" t="s">
        <v>92</v>
      </c>
      <c r="AF24" s="158" t="s">
        <v>92</v>
      </c>
      <c r="AG24" s="158" t="s">
        <v>92</v>
      </c>
      <c r="AH24" s="158" t="s">
        <v>92</v>
      </c>
      <c r="AI24" s="158" t="s">
        <v>92</v>
      </c>
      <c r="AJ24" s="158" t="s">
        <v>92</v>
      </c>
      <c r="AK24" s="158" t="s">
        <v>92</v>
      </c>
      <c r="AL24" s="158" t="s">
        <v>92</v>
      </c>
      <c r="AM24" s="158" t="s">
        <v>92</v>
      </c>
      <c r="AN24" s="158" t="s">
        <v>92</v>
      </c>
      <c r="AO24" s="158" t="s">
        <v>92</v>
      </c>
    </row>
    <row r="25" spans="1:41" ht="26.1" customHeight="1" thickBot="1" x14ac:dyDescent="0.3">
      <c r="A25" s="1" t="s">
        <v>89</v>
      </c>
      <c r="B25" s="17">
        <v>14</v>
      </c>
      <c r="C25" s="199" t="str">
        <f>VLOOKUP(B25,Começo!A:D,3,0)</f>
        <v>IoT</v>
      </c>
      <c r="D25" s="199"/>
      <c r="E25" s="199"/>
      <c r="F25" s="199"/>
      <c r="G25" s="194">
        <f>IFERROR(COUNTIF(Tabela113[#This Row],"sim"),"")*Começo!D27+SUM(Tabela113[#This Row])</f>
        <v>0</v>
      </c>
      <c r="H25" s="194"/>
      <c r="I25" s="194"/>
      <c r="J25" s="194"/>
      <c r="K25" s="158" t="s">
        <v>92</v>
      </c>
      <c r="L25" s="158" t="s">
        <v>92</v>
      </c>
      <c r="M25" s="158" t="s">
        <v>92</v>
      </c>
      <c r="N25" s="158" t="s">
        <v>92</v>
      </c>
      <c r="O25" s="158" t="s">
        <v>92</v>
      </c>
      <c r="P25" s="158" t="s">
        <v>92</v>
      </c>
      <c r="Q25" s="158" t="s">
        <v>92</v>
      </c>
      <c r="R25" s="158" t="s">
        <v>92</v>
      </c>
      <c r="S25" s="158" t="s">
        <v>92</v>
      </c>
      <c r="T25" s="158" t="s">
        <v>92</v>
      </c>
      <c r="U25" s="158" t="s">
        <v>92</v>
      </c>
      <c r="V25" s="158" t="s">
        <v>92</v>
      </c>
      <c r="W25" s="158" t="s">
        <v>92</v>
      </c>
      <c r="X25" s="158" t="s">
        <v>92</v>
      </c>
      <c r="Y25" s="158" t="s">
        <v>92</v>
      </c>
      <c r="Z25" s="158" t="s">
        <v>92</v>
      </c>
      <c r="AA25" s="158" t="s">
        <v>92</v>
      </c>
      <c r="AB25" s="158" t="s">
        <v>92</v>
      </c>
      <c r="AC25" s="158" t="s">
        <v>92</v>
      </c>
      <c r="AD25" s="158" t="s">
        <v>92</v>
      </c>
      <c r="AE25" s="158" t="s">
        <v>92</v>
      </c>
      <c r="AF25" s="158" t="s">
        <v>92</v>
      </c>
      <c r="AG25" s="158" t="s">
        <v>92</v>
      </c>
      <c r="AH25" s="158" t="s">
        <v>92</v>
      </c>
      <c r="AI25" s="158" t="s">
        <v>92</v>
      </c>
      <c r="AJ25" s="158" t="s">
        <v>92</v>
      </c>
      <c r="AK25" s="158" t="s">
        <v>92</v>
      </c>
      <c r="AL25" s="158" t="s">
        <v>92</v>
      </c>
      <c r="AM25" s="158" t="s">
        <v>92</v>
      </c>
      <c r="AN25" s="158" t="s">
        <v>92</v>
      </c>
      <c r="AO25" s="158" t="s">
        <v>92</v>
      </c>
    </row>
    <row r="26" spans="1:41" ht="26.1" customHeight="1" thickBot="1" x14ac:dyDescent="0.3">
      <c r="A26" s="1" t="s">
        <v>89</v>
      </c>
      <c r="B26" s="17">
        <v>15</v>
      </c>
      <c r="C26" s="199" t="str">
        <f>VLOOKUP(B26,Começo!A:D,3,0)</f>
        <v>Astrologia</v>
      </c>
      <c r="D26" s="199"/>
      <c r="E26" s="199"/>
      <c r="F26" s="199"/>
      <c r="G26" s="194">
        <f>IFERROR(COUNTIF(Tabela113[#This Row],"sim"),"")*Começo!D28+SUM(Tabela113[#This Row])</f>
        <v>0</v>
      </c>
      <c r="H26" s="194"/>
      <c r="I26" s="194"/>
      <c r="J26" s="194"/>
      <c r="K26" s="158" t="s">
        <v>92</v>
      </c>
      <c r="L26" s="158" t="s">
        <v>92</v>
      </c>
      <c r="M26" s="158" t="s">
        <v>92</v>
      </c>
      <c r="N26" s="158" t="s">
        <v>92</v>
      </c>
      <c r="O26" s="158" t="s">
        <v>92</v>
      </c>
      <c r="P26" s="158" t="s">
        <v>92</v>
      </c>
      <c r="Q26" s="158" t="s">
        <v>92</v>
      </c>
      <c r="R26" s="158" t="s">
        <v>92</v>
      </c>
      <c r="S26" s="158" t="s">
        <v>92</v>
      </c>
      <c r="T26" s="158" t="s">
        <v>92</v>
      </c>
      <c r="U26" s="158" t="s">
        <v>92</v>
      </c>
      <c r="V26" s="158" t="s">
        <v>92</v>
      </c>
      <c r="W26" s="158" t="s">
        <v>92</v>
      </c>
      <c r="X26" s="158" t="s">
        <v>92</v>
      </c>
      <c r="Y26" s="158" t="s">
        <v>92</v>
      </c>
      <c r="Z26" s="158" t="s">
        <v>92</v>
      </c>
      <c r="AA26" s="158" t="s">
        <v>92</v>
      </c>
      <c r="AB26" s="158" t="s">
        <v>92</v>
      </c>
      <c r="AC26" s="158" t="s">
        <v>92</v>
      </c>
      <c r="AD26" s="158" t="s">
        <v>92</v>
      </c>
      <c r="AE26" s="158" t="s">
        <v>92</v>
      </c>
      <c r="AF26" s="158" t="s">
        <v>92</v>
      </c>
      <c r="AG26" s="158" t="s">
        <v>92</v>
      </c>
      <c r="AH26" s="158" t="s">
        <v>92</v>
      </c>
      <c r="AI26" s="158" t="s">
        <v>92</v>
      </c>
      <c r="AJ26" s="158" t="s">
        <v>92</v>
      </c>
      <c r="AK26" s="158" t="s">
        <v>92</v>
      </c>
      <c r="AL26" s="158" t="s">
        <v>92</v>
      </c>
      <c r="AM26" s="158" t="s">
        <v>92</v>
      </c>
      <c r="AN26" s="158" t="s">
        <v>92</v>
      </c>
      <c r="AO26" s="158" t="s">
        <v>92</v>
      </c>
    </row>
    <row r="27" spans="1:41" ht="26.1" customHeight="1" thickBot="1" x14ac:dyDescent="0.3">
      <c r="A27" s="1" t="s">
        <v>89</v>
      </c>
      <c r="B27" s="17">
        <v>16</v>
      </c>
      <c r="C27" s="199" t="str">
        <f>VLOOKUP(B27,Começo!A:D,3,0)</f>
        <v>Colorimetria</v>
      </c>
      <c r="D27" s="199"/>
      <c r="E27" s="199"/>
      <c r="F27" s="199"/>
      <c r="G27" s="194">
        <f>IFERROR(COUNTIF(Tabela113[#This Row],"sim"),"")*Começo!D29+SUM(Tabela113[#This Row])</f>
        <v>0</v>
      </c>
      <c r="H27" s="194"/>
      <c r="I27" s="194"/>
      <c r="J27" s="194"/>
      <c r="K27" s="158" t="s">
        <v>92</v>
      </c>
      <c r="L27" s="158" t="s">
        <v>92</v>
      </c>
      <c r="M27" s="158" t="s">
        <v>92</v>
      </c>
      <c r="N27" s="158" t="s">
        <v>92</v>
      </c>
      <c r="O27" s="158" t="s">
        <v>92</v>
      </c>
      <c r="P27" s="158" t="s">
        <v>92</v>
      </c>
      <c r="Q27" s="158" t="s">
        <v>92</v>
      </c>
      <c r="R27" s="158" t="s">
        <v>92</v>
      </c>
      <c r="S27" s="158" t="s">
        <v>92</v>
      </c>
      <c r="T27" s="158" t="s">
        <v>92</v>
      </c>
      <c r="U27" s="158" t="s">
        <v>92</v>
      </c>
      <c r="V27" s="158" t="s">
        <v>92</v>
      </c>
      <c r="W27" s="158" t="s">
        <v>92</v>
      </c>
      <c r="X27" s="158" t="s">
        <v>92</v>
      </c>
      <c r="Y27" s="158" t="s">
        <v>92</v>
      </c>
      <c r="Z27" s="158" t="s">
        <v>92</v>
      </c>
      <c r="AA27" s="158" t="s">
        <v>92</v>
      </c>
      <c r="AB27" s="158" t="s">
        <v>92</v>
      </c>
      <c r="AC27" s="158" t="s">
        <v>92</v>
      </c>
      <c r="AD27" s="158" t="s">
        <v>92</v>
      </c>
      <c r="AE27" s="158" t="s">
        <v>92</v>
      </c>
      <c r="AF27" s="158" t="s">
        <v>92</v>
      </c>
      <c r="AG27" s="158" t="s">
        <v>92</v>
      </c>
      <c r="AH27" s="158" t="s">
        <v>92</v>
      </c>
      <c r="AI27" s="158" t="s">
        <v>92</v>
      </c>
      <c r="AJ27" s="158" t="s">
        <v>92</v>
      </c>
      <c r="AK27" s="158" t="s">
        <v>92</v>
      </c>
      <c r="AL27" s="158" t="s">
        <v>92</v>
      </c>
      <c r="AM27" s="158" t="s">
        <v>92</v>
      </c>
      <c r="AN27" s="158" t="s">
        <v>92</v>
      </c>
      <c r="AO27" s="158" t="s">
        <v>92</v>
      </c>
    </row>
    <row r="28" spans="1:41" ht="16.5" x14ac:dyDescent="0.25">
      <c r="K28" s="159">
        <f>SUBTOTAL(109,Tabela113[1-dez])</f>
        <v>0</v>
      </c>
      <c r="L28" s="159">
        <f>SUBTOTAL(109,Tabela113[2-dez])</f>
        <v>0</v>
      </c>
      <c r="M28" s="159">
        <f>SUBTOTAL(109,Tabela113[3-dez])</f>
        <v>0</v>
      </c>
      <c r="N28" s="159">
        <f>SUBTOTAL(109,Tabela113[4-dez])</f>
        <v>0</v>
      </c>
      <c r="O28" s="159">
        <f>SUBTOTAL(109,Tabela113[5-dez])</f>
        <v>0</v>
      </c>
      <c r="P28" s="159">
        <f>SUBTOTAL(109,Tabela113[6-dez])</f>
        <v>0</v>
      </c>
      <c r="Q28" s="159">
        <f>SUBTOTAL(109,Tabela113[7-dez])</f>
        <v>0</v>
      </c>
      <c r="R28" s="159">
        <f>SUBTOTAL(109,Tabela113[8-dez])</f>
        <v>0</v>
      </c>
      <c r="S28" s="159">
        <f>SUBTOTAL(109,Tabela113[9-dez])</f>
        <v>0</v>
      </c>
      <c r="T28" s="159">
        <f>SUBTOTAL(109,Tabela113[10-dez])</f>
        <v>0</v>
      </c>
      <c r="U28" s="159">
        <f>SUBTOTAL(109,Tabela113[11-dez])</f>
        <v>0</v>
      </c>
      <c r="V28" s="159">
        <f>SUBTOTAL(109,Tabela113[12-dez])</f>
        <v>0</v>
      </c>
      <c r="W28" s="159">
        <f>SUBTOTAL(109,Tabela113[13-dez])</f>
        <v>0</v>
      </c>
      <c r="X28" s="159">
        <f>SUBTOTAL(109,Tabela113[14-dez])</f>
        <v>0</v>
      </c>
      <c r="Y28" s="159">
        <f>SUBTOTAL(109,Tabela113[15-dez])</f>
        <v>0</v>
      </c>
      <c r="Z28" s="159">
        <f>SUBTOTAL(109,Tabela113[16-dez])</f>
        <v>0</v>
      </c>
      <c r="AA28" s="159">
        <f>SUBTOTAL(109,Tabela113[17-dez])</f>
        <v>0</v>
      </c>
      <c r="AB28" s="159">
        <f>SUBTOTAL(109,Tabela113[18-dez])</f>
        <v>0</v>
      </c>
      <c r="AC28" s="159">
        <f>SUBTOTAL(109,Tabela113[19-dez])</f>
        <v>0</v>
      </c>
      <c r="AD28" s="159">
        <f>SUBTOTAL(109,Tabela113[20-dez])</f>
        <v>0</v>
      </c>
      <c r="AE28" s="159">
        <f>SUBTOTAL(109,Tabela113[21-dez])</f>
        <v>0</v>
      </c>
      <c r="AF28" s="159">
        <f>SUBTOTAL(109,Tabela113[22-dez])</f>
        <v>0</v>
      </c>
      <c r="AG28" s="159">
        <f>SUBTOTAL(109,Tabela113[23-dez])</f>
        <v>0</v>
      </c>
      <c r="AH28" s="159">
        <f>SUBTOTAL(109,Tabela113[24-dez])</f>
        <v>0</v>
      </c>
      <c r="AI28" s="159">
        <f>SUBTOTAL(109,Tabela113[25-dez])</f>
        <v>0</v>
      </c>
      <c r="AJ28" s="159">
        <f>SUBTOTAL(109,Tabela113[26-dez])</f>
        <v>0</v>
      </c>
      <c r="AK28" s="159">
        <f>SUBTOTAL(109,Tabela113[27-dez])</f>
        <v>0</v>
      </c>
      <c r="AL28" s="159">
        <f>SUBTOTAL(109,Tabela113[28-dez])</f>
        <v>0</v>
      </c>
      <c r="AM28" s="159">
        <f>SUBTOTAL(109,Tabela113[29-dez])</f>
        <v>0</v>
      </c>
      <c r="AN28" s="159">
        <f>SUBTOTAL(109,Tabela113[30-dez])</f>
        <v>0</v>
      </c>
      <c r="AO28" s="159">
        <f>SUBTOTAL(109,Tabela113[31-dez])</f>
        <v>0</v>
      </c>
    </row>
    <row r="30" spans="1:41" x14ac:dyDescent="0.25">
      <c r="B30" s="188"/>
      <c r="C30" s="188"/>
    </row>
    <row r="31" spans="1:41" x14ac:dyDescent="0.25">
      <c r="B31" s="188"/>
      <c r="C31" s="188"/>
    </row>
  </sheetData>
  <sheetProtection algorithmName="SHA-512" hashValue="W7l1fUZu6Vnpm+Ab8joWXkXuVG4/5IlwZS3NvMrecJ8S0UejnJdW1dWHPZ0s5W0e90GhlMgA7KXjjeRKYuwUyA==" saltValue="3cERnvfL8+/rG+/Kp855BQ==" spinCount="100000" sheet="1" objects="1" scenarios="1"/>
  <mergeCells count="49">
    <mergeCell ref="C26:F26"/>
    <mergeCell ref="G26:J26"/>
    <mergeCell ref="C27:F27"/>
    <mergeCell ref="G27:J27"/>
    <mergeCell ref="C23:F23"/>
    <mergeCell ref="G23:J23"/>
    <mergeCell ref="C24:F24"/>
    <mergeCell ref="G24:J24"/>
    <mergeCell ref="C25:F25"/>
    <mergeCell ref="G25:J25"/>
    <mergeCell ref="C20:F20"/>
    <mergeCell ref="G20:J20"/>
    <mergeCell ref="C21:F21"/>
    <mergeCell ref="G21:J21"/>
    <mergeCell ref="C22:F22"/>
    <mergeCell ref="G22:J22"/>
    <mergeCell ref="C17:F17"/>
    <mergeCell ref="G17:J17"/>
    <mergeCell ref="C18:F18"/>
    <mergeCell ref="G18:J18"/>
    <mergeCell ref="C19:F19"/>
    <mergeCell ref="G19:J19"/>
    <mergeCell ref="C14:F14"/>
    <mergeCell ref="G14:J14"/>
    <mergeCell ref="C15:F15"/>
    <mergeCell ref="G15:J15"/>
    <mergeCell ref="C16:F16"/>
    <mergeCell ref="G16:J16"/>
    <mergeCell ref="H8:H9"/>
    <mergeCell ref="I8:I9"/>
    <mergeCell ref="J8:J9"/>
    <mergeCell ref="C13:F13"/>
    <mergeCell ref="G13:J13"/>
    <mergeCell ref="B30:C31"/>
    <mergeCell ref="L8:L9"/>
    <mergeCell ref="M8:M9"/>
    <mergeCell ref="O7:Q7"/>
    <mergeCell ref="O8:Q9"/>
    <mergeCell ref="B11:F11"/>
    <mergeCell ref="G11:J11"/>
    <mergeCell ref="K8:K9"/>
    <mergeCell ref="C12:F12"/>
    <mergeCell ref="G12:J12"/>
    <mergeCell ref="B8:B9"/>
    <mergeCell ref="C8:C9"/>
    <mergeCell ref="D8:D9"/>
    <mergeCell ref="E8:E9"/>
    <mergeCell ref="F8:F9"/>
    <mergeCell ref="G8:G9"/>
  </mergeCells>
  <conditionalFormatting sqref="K12:AO27">
    <cfRule type="containsText" dxfId="63" priority="3" operator="containsText" text="não">
      <formula>NOT(ISERROR(SEARCH("não",K12)))</formula>
    </cfRule>
    <cfRule type="containsText" dxfId="62" priority="4" operator="containsText" text="sim">
      <formula>NOT(ISERROR(SEARCH("sim",K12)))</formula>
    </cfRule>
  </conditionalFormatting>
  <conditionalFormatting sqref="G12:J2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{CBE2581A-1936-4BE9-B940-E5179A72715B}</x14:id>
        </ext>
      </extLst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{7DD676F9-A6B0-4C85-9B61-986F2314F6F0}</x14:id>
        </ext>
      </extLst>
    </cfRule>
  </conditionalFormatting>
  <dataValidations count="1">
    <dataValidation type="list" allowBlank="1" showInputMessage="1" showErrorMessage="1" sqref="K12:AO27" xr:uid="{00000000-0002-0000-1F00-000000000000}">
      <formula1>"Sim,Não,00:30,01:00,01:30,02:00,02:30,03:00,03:30,04:00"</formula1>
    </dataValidation>
  </dataValidations>
  <hyperlinks>
    <hyperlink ref="B8" location="Desempenho!A1" display="janeiro" xr:uid="{00000000-0004-0000-1F00-000000000000}"/>
    <hyperlink ref="C8" location="fev!A1" display="Fevereiro" xr:uid="{00000000-0004-0000-1F00-000001000000}"/>
    <hyperlink ref="D8" location="mar!A1" display="Março" xr:uid="{00000000-0004-0000-1F00-000002000000}"/>
    <hyperlink ref="E8" location="abr!A1" display="Abril" xr:uid="{00000000-0004-0000-1F00-000003000000}"/>
    <hyperlink ref="F8" location="maio!A1" display="Maio" xr:uid="{00000000-0004-0000-1F00-000004000000}"/>
    <hyperlink ref="G8" location="jun!A1" display="Junho" xr:uid="{00000000-0004-0000-1F00-000005000000}"/>
    <hyperlink ref="H8" location="jul!A1" display="Julho" xr:uid="{00000000-0004-0000-1F00-000006000000}"/>
    <hyperlink ref="I8" location="ago!A1" display="Agosto" xr:uid="{00000000-0004-0000-1F00-000007000000}"/>
    <hyperlink ref="J8" location="set!A1" display="Setembro" xr:uid="{00000000-0004-0000-1F00-000008000000}"/>
    <hyperlink ref="K8" location="out!A1" display="Outubro" xr:uid="{00000000-0004-0000-1F00-000009000000}"/>
    <hyperlink ref="L8" location="nov!A1" display="Novembro" xr:uid="{00000000-0004-0000-1F00-00000A000000}"/>
    <hyperlink ref="M8" location="dez!A1" display="Dezembro" xr:uid="{00000000-0004-0000-1F00-00000B000000}"/>
  </hyperlink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BE2581A-1936-4BE9-B940-E5179A72715B}">
            <x14:dataBar minLength="0" maxLength="100" gradient="0">
              <x14:cfvo type="autoMin"/>
              <x14:cfvo type="autoMax"/>
              <x14:negativeFillColor rgb="FFFF0000"/>
              <x14:axisColor theme="0"/>
            </x14:dataBar>
          </x14:cfRule>
          <x14:cfRule type="dataBar" id="{7DD676F9-A6B0-4C85-9B61-986F2314F6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G12:J27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ilha5"/>
  <dimension ref="A1:I41"/>
  <sheetViews>
    <sheetView workbookViewId="0"/>
  </sheetViews>
  <sheetFormatPr defaultRowHeight="15" x14ac:dyDescent="0.25"/>
  <cols>
    <col min="1" max="1" width="16.28515625" style="162" bestFit="1" customWidth="1"/>
    <col min="2" max="2" width="13.28515625" style="162" customWidth="1"/>
    <col min="3" max="3" width="11.140625" style="162" customWidth="1"/>
    <col min="4" max="4" width="13.42578125" style="162" bestFit="1" customWidth="1"/>
    <col min="5" max="7" width="9.140625" style="162"/>
    <col min="8" max="8" width="21" style="162" bestFit="1" customWidth="1"/>
    <col min="9" max="16384" width="9.140625" style="162"/>
  </cols>
  <sheetData>
    <row r="1" spans="1:9" ht="15.75" x14ac:dyDescent="0.25">
      <c r="A1" s="161">
        <v>1</v>
      </c>
      <c r="G1" s="162">
        <v>1</v>
      </c>
      <c r="H1" s="162" t="str">
        <f>VLOOKUP(G1,Começo!A:C,3,0)</f>
        <v>Português</v>
      </c>
      <c r="I1" s="163" t="s">
        <v>480</v>
      </c>
    </row>
    <row r="2" spans="1:9" ht="15.75" x14ac:dyDescent="0.25">
      <c r="A2" s="161">
        <v>2</v>
      </c>
      <c r="G2" s="162">
        <v>2</v>
      </c>
      <c r="H2" s="162" t="str">
        <f>VLOOKUP(G2,Começo!A:C,3,0)</f>
        <v>Matemática</v>
      </c>
    </row>
    <row r="3" spans="1:9" ht="15.75" x14ac:dyDescent="0.25">
      <c r="A3" s="161">
        <v>3</v>
      </c>
      <c r="G3" s="162">
        <v>3</v>
      </c>
      <c r="H3" s="162" t="str">
        <f>VLOOKUP(G3,Começo!A:C,3,0)</f>
        <v>História</v>
      </c>
    </row>
    <row r="4" spans="1:9" x14ac:dyDescent="0.25">
      <c r="D4" s="164"/>
      <c r="G4" s="162">
        <v>4</v>
      </c>
      <c r="H4" s="162" t="str">
        <f>VLOOKUP(G4,Começo!A:C,3,0)</f>
        <v>Física</v>
      </c>
    </row>
    <row r="5" spans="1:9" x14ac:dyDescent="0.25">
      <c r="G5" s="162">
        <v>5</v>
      </c>
      <c r="H5" s="162" t="str">
        <f>VLOOKUP(G5,Começo!A:C,3,0)</f>
        <v>Quimíca</v>
      </c>
    </row>
    <row r="6" spans="1:9" x14ac:dyDescent="0.25">
      <c r="G6" s="162">
        <v>6</v>
      </c>
      <c r="H6" s="162" t="str">
        <f>VLOOKUP(G6,Começo!A:C,3,0)</f>
        <v>Legislação</v>
      </c>
    </row>
    <row r="7" spans="1:9" ht="18.75" x14ac:dyDescent="0.3">
      <c r="A7" s="251" t="s">
        <v>44</v>
      </c>
      <c r="B7" s="251"/>
      <c r="C7" s="251"/>
      <c r="G7" s="162">
        <v>7</v>
      </c>
      <c r="H7" s="162" t="str">
        <f>VLOOKUP(G7,Começo!A:C,3,0)</f>
        <v>Processo Penal</v>
      </c>
    </row>
    <row r="8" spans="1:9" x14ac:dyDescent="0.25">
      <c r="A8" s="165">
        <f>COUNTIF('Quadro Horario '!B14:B50,A16)*30/24/60</f>
        <v>0</v>
      </c>
      <c r="B8" s="165">
        <f>COUNTIF('Quadro Horario '!B14:B50,A17)*30/24/60</f>
        <v>0</v>
      </c>
      <c r="C8" s="165">
        <f>COUNTIF('Quadro Horario '!B14:B50,A18)*30/24/60</f>
        <v>0</v>
      </c>
      <c r="D8" s="166" t="s">
        <v>70</v>
      </c>
      <c r="G8" s="162">
        <v>8</v>
      </c>
      <c r="H8" s="162" t="str">
        <f>VLOOKUP(G8,Começo!A:C,3,0)</f>
        <v>Direito Administrativo</v>
      </c>
    </row>
    <row r="9" spans="1:9" x14ac:dyDescent="0.25">
      <c r="A9" s="165">
        <f>COUNTIF('Quadro Horario '!C14:C50,A16)*30/24/60</f>
        <v>0</v>
      </c>
      <c r="B9" s="165">
        <f>COUNTIF('Quadro Horario '!C14:C50,A17)*30/24/60</f>
        <v>0</v>
      </c>
      <c r="C9" s="165">
        <f>COUNTIF('Quadro Horario '!C14:C50,A18)*30/24/60</f>
        <v>0</v>
      </c>
      <c r="D9" s="166" t="s">
        <v>71</v>
      </c>
      <c r="G9" s="162">
        <v>9</v>
      </c>
      <c r="H9" s="162" t="str">
        <f>VLOOKUP(G9,Começo!A:C,3,0)</f>
        <v>Direito Tributário</v>
      </c>
    </row>
    <row r="10" spans="1:9" x14ac:dyDescent="0.25">
      <c r="A10" s="165">
        <f>COUNTIF('Quadro Horario '!D14:D50,A16)*30/24/60</f>
        <v>0</v>
      </c>
      <c r="B10" s="165">
        <f>COUNTIF('Quadro Horario '!D14:D50,A17)*30/24/60</f>
        <v>0</v>
      </c>
      <c r="C10" s="165">
        <f>COUNTIF('Quadro Horario '!D14:D50,A18)*30/24/60</f>
        <v>0</v>
      </c>
      <c r="D10" s="166" t="s">
        <v>72</v>
      </c>
      <c r="G10" s="162">
        <v>10</v>
      </c>
      <c r="H10" s="162" t="str">
        <f>VLOOKUP(G10,Começo!A:C,3,0)</f>
        <v>Inglês</v>
      </c>
    </row>
    <row r="11" spans="1:9" x14ac:dyDescent="0.25">
      <c r="A11" s="165">
        <f>COUNTIF('Quadro Horario '!E14:E50,A16)*30/24/60</f>
        <v>0</v>
      </c>
      <c r="B11" s="165">
        <f>COUNTIF('Quadro Horario '!E14:E50,A17)*30/24/60</f>
        <v>0</v>
      </c>
      <c r="C11" s="165">
        <f>COUNTIF('Quadro Horario '!E14:E50,A18)*30/24/60</f>
        <v>0</v>
      </c>
      <c r="D11" s="166" t="s">
        <v>73</v>
      </c>
      <c r="G11" s="162">
        <v>11</v>
      </c>
      <c r="H11" s="162" t="str">
        <f>VLOOKUP(G11,Começo!A:C,3,0)</f>
        <v>Análise de Sistemas</v>
      </c>
    </row>
    <row r="12" spans="1:9" x14ac:dyDescent="0.25">
      <c r="A12" s="165">
        <f>COUNTIF('Quadro Horario '!F14:F50,A16)*30/24/60</f>
        <v>0</v>
      </c>
      <c r="B12" s="165">
        <f>COUNTIF('Quadro Horario '!F14:F50,A17)*30/24/60</f>
        <v>0</v>
      </c>
      <c r="C12" s="165">
        <f>COUNTIF('Quadro Horario '!F14:F50,A18)*30/24/60</f>
        <v>0</v>
      </c>
      <c r="D12" s="166" t="s">
        <v>74</v>
      </c>
      <c r="G12" s="162">
        <v>12</v>
      </c>
      <c r="H12" s="162" t="str">
        <f>VLOOKUP(G12,Começo!A:C,3,0)</f>
        <v>Direito Legislativo</v>
      </c>
    </row>
    <row r="13" spans="1:9" x14ac:dyDescent="0.25">
      <c r="A13" s="165">
        <f>COUNTIF('Quadro Horario '!G14:G50,A16)*30/24/60</f>
        <v>0</v>
      </c>
      <c r="B13" s="165">
        <f>COUNTIF('Quadro Horario '!G14:G50,A17)*30/24/60</f>
        <v>0</v>
      </c>
      <c r="C13" s="165">
        <f>COUNTIF('Quadro Horario '!G14:G50,A18)*30/24/60</f>
        <v>0</v>
      </c>
      <c r="D13" s="166" t="s">
        <v>75</v>
      </c>
      <c r="G13" s="162">
        <v>13</v>
      </c>
      <c r="H13" s="162" t="str">
        <f>VLOOKUP(G13,Começo!A:C,3,0)</f>
        <v>Mecânica dos Fluídos</v>
      </c>
    </row>
    <row r="14" spans="1:9" x14ac:dyDescent="0.25">
      <c r="A14" s="165">
        <f>COUNTIF('Quadro Horario '!H14:H50,A16)*30/24/60</f>
        <v>0</v>
      </c>
      <c r="B14" s="165">
        <f>COUNTIF('Quadro Horario '!H14:H50,A17)*30/24/60</f>
        <v>0</v>
      </c>
      <c r="C14" s="165">
        <f>COUNTIF('Quadro Horario '!H14:H50,A18)*30/24/60</f>
        <v>0</v>
      </c>
      <c r="D14" s="166" t="s">
        <v>76</v>
      </c>
      <c r="G14" s="162">
        <v>14</v>
      </c>
      <c r="H14" s="162" t="str">
        <f>VLOOKUP(G14,Começo!A:C,3,0)</f>
        <v>IoT</v>
      </c>
    </row>
    <row r="15" spans="1:9" x14ac:dyDescent="0.25">
      <c r="A15" s="165"/>
      <c r="G15" s="162">
        <v>15</v>
      </c>
      <c r="H15" s="162" t="str">
        <f>VLOOKUP(G15,Começo!A:C,3,0)</f>
        <v>Astrologia</v>
      </c>
    </row>
    <row r="16" spans="1:9" x14ac:dyDescent="0.25">
      <c r="A16" s="166" t="s">
        <v>24</v>
      </c>
      <c r="G16" s="162">
        <v>16</v>
      </c>
      <c r="H16" s="162" t="str">
        <f>VLOOKUP(G16,Começo!A:C,3,0)</f>
        <v>Colorimetria</v>
      </c>
    </row>
    <row r="17" spans="1:8" x14ac:dyDescent="0.25">
      <c r="A17" s="166" t="s">
        <v>42</v>
      </c>
    </row>
    <row r="18" spans="1:8" x14ac:dyDescent="0.25">
      <c r="A18" s="166" t="s">
        <v>45</v>
      </c>
      <c r="G18" s="162">
        <v>1</v>
      </c>
      <c r="H18" s="167" t="str">
        <f>IF(Conteudo!C13="","",VLOOKUP(G18,Conteudo!A:J,3,0))</f>
        <v>Licenciatura</v>
      </c>
    </row>
    <row r="19" spans="1:8" x14ac:dyDescent="0.25">
      <c r="A19" s="166"/>
      <c r="G19" s="162">
        <v>2</v>
      </c>
      <c r="H19" s="167" t="str">
        <f>IF(Conteudo!C14="","",VLOOKUP(G19,Conteudo!A:J,3,0))</f>
        <v>Algebra</v>
      </c>
    </row>
    <row r="20" spans="1:8" x14ac:dyDescent="0.25">
      <c r="A20" s="166"/>
      <c r="G20" s="162">
        <v>3</v>
      </c>
      <c r="H20" s="167" t="str">
        <f>IF(Conteudo!C15="","",VLOOKUP(G20,Conteudo!A:J,3,0))</f>
        <v>Guerra Fria</v>
      </c>
    </row>
    <row r="21" spans="1:8" x14ac:dyDescent="0.25">
      <c r="A21" s="166"/>
      <c r="G21" s="162">
        <v>4</v>
      </c>
      <c r="H21" s="167" t="str">
        <f>IF(Conteudo!C15="","",VLOOKUP(G21,Conteudo!A:J,3,0))</f>
        <v xml:space="preserve">                                      Derivadas</v>
      </c>
    </row>
    <row r="22" spans="1:8" x14ac:dyDescent="0.25">
      <c r="A22" s="168">
        <f t="array" ref="A22">FREQUENCY(dados2,acertos)</f>
        <v>0</v>
      </c>
      <c r="G22" s="162">
        <v>5</v>
      </c>
      <c r="H22" s="167" t="str">
        <f>IF(Conteudo!C17="","",VLOOKUP(G22,Conteudo!A:J,3,0))</f>
        <v xml:space="preserve">Tabelas </v>
      </c>
    </row>
    <row r="23" spans="1:8" x14ac:dyDescent="0.25">
      <c r="A23" s="166"/>
      <c r="G23" s="162">
        <v>6</v>
      </c>
      <c r="H23" s="167" t="str">
        <f>IF(Conteudo!C18="","",VLOOKUP(G23,Conteudo!A:J,3,0))</f>
        <v>Código Civil</v>
      </c>
    </row>
    <row r="24" spans="1:8" x14ac:dyDescent="0.25">
      <c r="G24" s="162">
        <v>7</v>
      </c>
      <c r="H24" s="167" t="str">
        <f>IF(Conteudo!C19="","",VLOOKUP(G24,Conteudo!A:J,3,0))</f>
        <v>Primeira Instacia</v>
      </c>
    </row>
    <row r="25" spans="1:8" x14ac:dyDescent="0.25">
      <c r="G25" s="162">
        <v>8</v>
      </c>
      <c r="H25" s="167" t="str">
        <f>IF(Conteudo!C20="","",VLOOKUP(G25,Conteudo!A:J,3,0))</f>
        <v>Administração de tempo</v>
      </c>
    </row>
    <row r="26" spans="1:8" x14ac:dyDescent="0.25">
      <c r="A26" s="162">
        <v>1</v>
      </c>
      <c r="B26" s="163" t="str">
        <f>VLOOKUP(A26,Começo!A:D,3,0)</f>
        <v>Português</v>
      </c>
      <c r="G26" s="162">
        <v>9</v>
      </c>
      <c r="H26" s="167" t="str">
        <f>IF(Conteudo!C21="","",VLOOKUP(G26,Conteudo!A:J,3,0))</f>
        <v>Impostos</v>
      </c>
    </row>
    <row r="27" spans="1:8" x14ac:dyDescent="0.25">
      <c r="A27" s="162">
        <v>2</v>
      </c>
      <c r="B27" s="163" t="str">
        <f>VLOOKUP(A27,Começo!A:D,3,0)</f>
        <v>Matemática</v>
      </c>
      <c r="G27" s="162">
        <v>10</v>
      </c>
      <c r="H27" s="167" t="str">
        <f>IF(Conteudo!C22="","",VLOOKUP(G27,Conteudo!A:J,3,0))</f>
        <v>Gramática</v>
      </c>
    </row>
    <row r="28" spans="1:8" x14ac:dyDescent="0.25">
      <c r="A28" s="162">
        <v>3</v>
      </c>
      <c r="B28" s="163" t="str">
        <f>VLOOKUP(A28,Começo!A:D,3,0)</f>
        <v>História</v>
      </c>
      <c r="G28" s="162">
        <v>11</v>
      </c>
      <c r="H28" s="167" t="str">
        <f>IF(Conteudo!C23="","",VLOOKUP(G28,Conteudo!A:J,3,0))</f>
        <v>Lógica de Programação</v>
      </c>
    </row>
    <row r="29" spans="1:8" x14ac:dyDescent="0.25">
      <c r="A29" s="162">
        <v>4</v>
      </c>
      <c r="B29" s="163" t="str">
        <f>VLOOKUP(A29,Começo!A:D,3,0)</f>
        <v>Física</v>
      </c>
      <c r="G29" s="162">
        <v>12</v>
      </c>
      <c r="H29" s="167" t="str">
        <f>IF(Conteudo!C24="","",VLOOKUP(G29,Conteudo!A:J,3,0))</f>
        <v>Legislação</v>
      </c>
    </row>
    <row r="30" spans="1:8" x14ac:dyDescent="0.25">
      <c r="A30" s="162">
        <v>5</v>
      </c>
      <c r="B30" s="163" t="str">
        <f>VLOOKUP(A30,Começo!A:D,3,0)</f>
        <v>Quimíca</v>
      </c>
      <c r="G30" s="162">
        <v>13</v>
      </c>
      <c r="H30" s="167" t="str">
        <f>IF(Conteudo!C25="","",VLOOKUP(G30,Conteudo!A:J,3,0))</f>
        <v>Densidade dos Fluídos</v>
      </c>
    </row>
    <row r="31" spans="1:8" x14ac:dyDescent="0.25">
      <c r="A31" s="162">
        <v>6</v>
      </c>
      <c r="B31" s="163" t="str">
        <f>VLOOKUP(A31,Começo!A:D,3,0)</f>
        <v>Legislação</v>
      </c>
      <c r="G31" s="162">
        <v>14</v>
      </c>
      <c r="H31" s="167" t="str">
        <f>IF(Conteudo!C26="","",VLOOKUP(G31,Conteudo!A:J,3,0))</f>
        <v>Web</v>
      </c>
    </row>
    <row r="32" spans="1:8" x14ac:dyDescent="0.25">
      <c r="A32" s="162">
        <v>7</v>
      </c>
      <c r="B32" s="163" t="str">
        <f>VLOOKUP(A32,Começo!A:D,3,0)</f>
        <v>Processo Penal</v>
      </c>
      <c r="G32" s="162">
        <v>15</v>
      </c>
      <c r="H32" s="167" t="str">
        <f>IF(Conteudo!C27="","",VLOOKUP(G32,Conteudo!A:J,3,0))</f>
        <v>Espansão do universo</v>
      </c>
    </row>
    <row r="33" spans="1:8" x14ac:dyDescent="0.25">
      <c r="A33" s="162">
        <v>8</v>
      </c>
      <c r="B33" s="163" t="str">
        <f>VLOOKUP(A33,Começo!A:D,3,0)</f>
        <v>Direito Administrativo</v>
      </c>
      <c r="G33" s="162">
        <v>16</v>
      </c>
      <c r="H33" s="167" t="str">
        <f>IF(Conteudo!C28="","",VLOOKUP(G33,Conteudo!A:J,3,0))</f>
        <v>Temperatura das Cores</v>
      </c>
    </row>
    <row r="34" spans="1:8" x14ac:dyDescent="0.25">
      <c r="A34" s="162">
        <v>9</v>
      </c>
      <c r="B34" s="163" t="str">
        <f>VLOOKUP(A34,Começo!A:D,3,0)</f>
        <v>Direito Tributário</v>
      </c>
    </row>
    <row r="35" spans="1:8" x14ac:dyDescent="0.25">
      <c r="A35" s="162">
        <v>10</v>
      </c>
      <c r="B35" s="163" t="str">
        <f>VLOOKUP(A35,Começo!A:D,3,0)</f>
        <v>Inglês</v>
      </c>
    </row>
    <row r="36" spans="1:8" x14ac:dyDescent="0.25">
      <c r="A36" s="162">
        <v>11</v>
      </c>
      <c r="B36" s="163" t="str">
        <f>VLOOKUP(A36,Começo!A:D,3,0)</f>
        <v>Análise de Sistemas</v>
      </c>
    </row>
    <row r="37" spans="1:8" x14ac:dyDescent="0.25">
      <c r="A37" s="162">
        <v>12</v>
      </c>
      <c r="B37" s="163" t="str">
        <f>VLOOKUP(A37,Começo!A:D,3,0)</f>
        <v>Direito Legislativo</v>
      </c>
    </row>
    <row r="38" spans="1:8" x14ac:dyDescent="0.25">
      <c r="A38" s="162">
        <v>13</v>
      </c>
      <c r="B38" s="163" t="str">
        <f>VLOOKUP(A38,Começo!A:D,3,0)</f>
        <v>Mecânica dos Fluídos</v>
      </c>
    </row>
    <row r="39" spans="1:8" x14ac:dyDescent="0.25">
      <c r="A39" s="162">
        <v>14</v>
      </c>
      <c r="B39" s="163" t="str">
        <f>VLOOKUP(A39,Começo!A:D,3,0)</f>
        <v>IoT</v>
      </c>
    </row>
    <row r="40" spans="1:8" x14ac:dyDescent="0.25">
      <c r="A40" s="162">
        <v>15</v>
      </c>
      <c r="B40" s="163" t="str">
        <f>VLOOKUP(A40,Começo!A:D,3,0)</f>
        <v>Astrologia</v>
      </c>
    </row>
    <row r="41" spans="1:8" x14ac:dyDescent="0.25">
      <c r="A41" s="162">
        <v>16</v>
      </c>
      <c r="B41" s="163" t="str">
        <f>VLOOKUP(A41,Começo!A:D,3,0)</f>
        <v>Colorimetria</v>
      </c>
    </row>
  </sheetData>
  <sheetProtection algorithmName="SHA-512" hashValue="4yjZcG/TRLlVZpt5DieR5Dbo6LkNdcanZeHF5JktCfbug3wtJ+7kuSbV5EmgTRNNYUcDE5MY169hfKlIkVgwBQ==" saltValue="0r+3+9qpX+PQsvqVPL2/Fg==" spinCount="100000" sheet="1" objects="1" scenarios="1"/>
  <mergeCells count="1">
    <mergeCell ref="A7:C7"/>
  </mergeCells>
  <hyperlinks>
    <hyperlink ref="I1" r:id="rId1" xr:uid="{00000000-0004-0000-2000-000000000000}"/>
    <hyperlink ref="B26" location="'Materia 1'!A1" display="'Materia 1'!A1" xr:uid="{00000000-0004-0000-2000-000001000000}"/>
    <hyperlink ref="B27" location="'Materia 2'!A1" display="'Materia 2'!A1" xr:uid="{00000000-0004-0000-2000-000002000000}"/>
    <hyperlink ref="B28" location="'Materia 3'!A1" display="'Materia 3'!A1" xr:uid="{00000000-0004-0000-2000-000003000000}"/>
    <hyperlink ref="B29" location="'Materia 4'!A1" display="'Materia 4'!A1" xr:uid="{00000000-0004-0000-2000-000004000000}"/>
    <hyperlink ref="B30" location="'Materia 5'!A1" display="'Materia 5'!A1" xr:uid="{00000000-0004-0000-2000-000005000000}"/>
    <hyperlink ref="B31" location="'Materia 6'!A1" display="'Materia 6'!A1" xr:uid="{00000000-0004-0000-2000-000006000000}"/>
    <hyperlink ref="B32" location="'Materia 7'!A1" display="'Materia 7'!A1" xr:uid="{00000000-0004-0000-2000-000007000000}"/>
    <hyperlink ref="B33" location="'Materia 8'!A1" display="'Materia 8'!A1" xr:uid="{00000000-0004-0000-2000-000008000000}"/>
    <hyperlink ref="B34" location="'Materia 9'!A1" display="'Materia 9'!A1" xr:uid="{00000000-0004-0000-2000-000009000000}"/>
    <hyperlink ref="B35" location="'Materia 10'!A1" display="'Materia 10'!A1" xr:uid="{00000000-0004-0000-2000-00000A000000}"/>
    <hyperlink ref="B36" location="'Materia 11'!A1" display="'Materia 11'!A1" xr:uid="{00000000-0004-0000-2000-00000B000000}"/>
    <hyperlink ref="B37" location="'Materia 12'!A1" display="'Materia 12'!A1" xr:uid="{00000000-0004-0000-2000-00000C000000}"/>
    <hyperlink ref="B38" location="'Materia 13'!A1" display="'Materia 13'!A1" xr:uid="{00000000-0004-0000-2000-00000D000000}"/>
    <hyperlink ref="B39" location="'Materia 14'!A1" display="'Materia 14'!A1" xr:uid="{00000000-0004-0000-2000-00000E000000}"/>
    <hyperlink ref="B40" location="'Materia 15'!A1" display="'Materia 15'!A1" xr:uid="{00000000-0004-0000-2000-00000F000000}"/>
    <hyperlink ref="B41" location="'Materia 16'!A1" display="'Materia 16'!A1" xr:uid="{00000000-0004-0000-2000-000010000000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33</vt:i4>
      </vt:variant>
      <vt:variant>
        <vt:lpstr>Gráficos</vt:lpstr>
      </vt:variant>
      <vt:variant>
        <vt:i4>2</vt:i4>
      </vt:variant>
      <vt:variant>
        <vt:lpstr>Intervalos Nomeados</vt:lpstr>
      </vt:variant>
      <vt:variant>
        <vt:i4>8</vt:i4>
      </vt:variant>
    </vt:vector>
  </HeadingPairs>
  <TitlesOfParts>
    <vt:vector size="43" baseType="lpstr">
      <vt:lpstr>Começo</vt:lpstr>
      <vt:lpstr>Conteudo</vt:lpstr>
      <vt:lpstr>Desempenho</vt:lpstr>
      <vt:lpstr>Quadro Horario </vt:lpstr>
      <vt:lpstr>Resultados</vt:lpstr>
      <vt:lpstr>Materia 1</vt:lpstr>
      <vt:lpstr>Materia 2</vt:lpstr>
      <vt:lpstr>Materia 3</vt:lpstr>
      <vt:lpstr>Materia 4</vt:lpstr>
      <vt:lpstr>Materia 5</vt:lpstr>
      <vt:lpstr>Materia 6</vt:lpstr>
      <vt:lpstr>Materia 7</vt:lpstr>
      <vt:lpstr>Materia 8</vt:lpstr>
      <vt:lpstr>Materia 9</vt:lpstr>
      <vt:lpstr>Materia 10</vt:lpstr>
      <vt:lpstr>Materia 11</vt:lpstr>
      <vt:lpstr>Materia 12</vt:lpstr>
      <vt:lpstr>Materia 13</vt:lpstr>
      <vt:lpstr>Materia 14</vt:lpstr>
      <vt:lpstr>Materia 15</vt:lpstr>
      <vt:lpstr>Materia 16</vt:lpstr>
      <vt:lpstr>fev</vt:lpstr>
      <vt:lpstr>mar</vt:lpstr>
      <vt:lpstr>abr</vt:lpstr>
      <vt:lpstr>maio</vt:lpstr>
      <vt:lpstr>jun</vt:lpstr>
      <vt:lpstr>jul</vt:lpstr>
      <vt:lpstr>ago</vt:lpstr>
      <vt:lpstr>set</vt:lpstr>
      <vt:lpstr>out</vt:lpstr>
      <vt:lpstr>nov</vt:lpstr>
      <vt:lpstr>dez</vt:lpstr>
      <vt:lpstr>Calculos</vt:lpstr>
      <vt:lpstr>Gráfico1</vt:lpstr>
      <vt:lpstr>Gráfico2</vt:lpstr>
      <vt:lpstr>acertos</vt:lpstr>
      <vt:lpstr>bd</vt:lpstr>
      <vt:lpstr>dados2</vt:lpstr>
      <vt:lpstr>Google</vt:lpstr>
      <vt:lpstr>jan</vt:lpstr>
      <vt:lpstr>plan1</vt:lpstr>
      <vt:lpstr>plan2</vt:lpstr>
      <vt:lpstr>tabconteudo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Ewerton Rodrigues</dc:creator>
  <cp:lastModifiedBy>Ewerton Rodrigues</cp:lastModifiedBy>
  <cp:lastPrinted>2019-05-28T16:49:12Z</cp:lastPrinted>
  <dcterms:created xsi:type="dcterms:W3CDTF">2019-05-28T00:19:00Z</dcterms:created>
  <dcterms:modified xsi:type="dcterms:W3CDTF">2024-03-16T14:01:43Z</dcterms:modified>
</cp:coreProperties>
</file>